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ES\OneDrive\Desktop\project portfolio\"/>
    </mc:Choice>
  </mc:AlternateContent>
  <xr:revisionPtr revIDLastSave="0" documentId="13_ncr:1_{9A818B91-EA30-4309-9949-5FAAFCA3451A}" xr6:coauthVersionLast="47" xr6:coauthVersionMax="47" xr10:uidLastSave="{00000000-0000-0000-0000-000000000000}"/>
  <bookViews>
    <workbookView xWindow="-90" yWindow="0" windowWidth="10560" windowHeight="10170" firstSheet="1" activeTab="5" xr2:uid="{7B1EC0E9-DD0B-4AD7-B8A6-61329BD0CCFE}"/>
  </bookViews>
  <sheets>
    <sheet name="COVER" sheetId="1" r:id="rId1"/>
    <sheet name="ASSUMPTIONS" sheetId="2" r:id="rId2"/>
    <sheet name="DATA ENTRY" sheetId="3" r:id="rId3"/>
    <sheet name="CALCULATIONS" sheetId="4" r:id="rId4"/>
    <sheet name="DASHBOARD" sheetId="5" r:id="rId5"/>
    <sheet name="RAW DA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5" l="1"/>
  <c r="G35" i="5"/>
  <c r="G34" i="5"/>
  <c r="G33" i="5"/>
  <c r="G32" i="5"/>
  <c r="G31" i="5"/>
  <c r="F36" i="5"/>
  <c r="F35" i="5"/>
  <c r="F34" i="5"/>
  <c r="F33" i="5"/>
  <c r="F32" i="5"/>
  <c r="F31" i="5"/>
  <c r="E36" i="5"/>
  <c r="E35" i="5"/>
  <c r="E34" i="5"/>
  <c r="E33" i="5"/>
  <c r="E32" i="5"/>
  <c r="E31" i="5"/>
  <c r="D36" i="5"/>
  <c r="D35" i="5"/>
  <c r="D34" i="5"/>
  <c r="D33" i="5"/>
  <c r="D32" i="5"/>
  <c r="D31" i="5"/>
  <c r="C36" i="5"/>
  <c r="C35" i="5"/>
  <c r="C34" i="5"/>
  <c r="C33" i="5"/>
  <c r="C32" i="5"/>
  <c r="C31" i="5"/>
  <c r="R24" i="5"/>
  <c r="R23" i="5"/>
  <c r="R22" i="5"/>
  <c r="R21" i="5"/>
  <c r="R20" i="5"/>
  <c r="R19" i="5"/>
  <c r="R18" i="5"/>
  <c r="R17" i="5"/>
  <c r="R16" i="5"/>
  <c r="R15" i="5"/>
  <c r="R14" i="5"/>
  <c r="R13" i="5"/>
  <c r="Q24" i="5"/>
  <c r="Q23" i="5"/>
  <c r="Q22" i="5"/>
  <c r="Q21" i="5"/>
  <c r="Q20" i="5"/>
  <c r="Q19" i="5"/>
  <c r="Q18" i="5"/>
  <c r="Q17" i="5"/>
  <c r="Q16" i="5"/>
  <c r="Q15" i="5"/>
  <c r="Q14" i="5"/>
  <c r="Q13" i="5"/>
  <c r="Q9" i="5"/>
  <c r="Q8" i="5"/>
  <c r="Q7" i="5"/>
  <c r="Q6" i="5"/>
  <c r="Q5" i="5"/>
  <c r="Q4" i="5"/>
  <c r="K8" i="5"/>
  <c r="H8" i="5"/>
  <c r="E8" i="5"/>
  <c r="B8" i="5"/>
  <c r="O21" i="4"/>
  <c r="O18" i="4"/>
  <c r="O15" i="4"/>
  <c r="O9" i="4"/>
  <c r="O6" i="4"/>
  <c r="O5" i="4"/>
  <c r="O4" i="4"/>
  <c r="C8" i="4"/>
  <c r="C24" i="4" s="1"/>
  <c r="C25" i="4" s="1"/>
  <c r="P21" i="4"/>
  <c r="Q21" i="4" s="1"/>
  <c r="I21" i="4"/>
  <c r="H21" i="4"/>
  <c r="G21" i="4"/>
  <c r="F21" i="4"/>
  <c r="E21" i="4"/>
  <c r="D21" i="4"/>
  <c r="C21" i="4"/>
  <c r="N21" i="4"/>
  <c r="M21" i="4"/>
  <c r="L21" i="4"/>
  <c r="K21" i="4"/>
  <c r="J21" i="4"/>
  <c r="O23" i="4"/>
  <c r="K25" i="4"/>
  <c r="I25" i="4"/>
  <c r="H25" i="4"/>
  <c r="G25" i="4"/>
  <c r="N24" i="4"/>
  <c r="N25" i="4" s="1"/>
  <c r="M24" i="4"/>
  <c r="M25" i="4" s="1"/>
  <c r="L24" i="4"/>
  <c r="L25" i="4" s="1"/>
  <c r="K24" i="4"/>
  <c r="J24" i="4"/>
  <c r="J25" i="4" s="1"/>
  <c r="I24" i="4"/>
  <c r="H24" i="4"/>
  <c r="G24" i="4"/>
  <c r="F24" i="4"/>
  <c r="F25" i="4" s="1"/>
  <c r="E24" i="4"/>
  <c r="E25" i="4" s="1"/>
  <c r="D24" i="4"/>
  <c r="D25" i="4" s="1"/>
  <c r="N23" i="4"/>
  <c r="M23" i="4"/>
  <c r="L23" i="4"/>
  <c r="K23" i="4"/>
  <c r="J23" i="4"/>
  <c r="I23" i="4"/>
  <c r="H23" i="4"/>
  <c r="G23" i="4"/>
  <c r="F23" i="4"/>
  <c r="E23" i="4"/>
  <c r="D23" i="4"/>
  <c r="C23" i="4"/>
  <c r="P6" i="4"/>
  <c r="Q6" i="4" s="1"/>
  <c r="E18" i="4"/>
  <c r="F18" i="4"/>
  <c r="G18" i="4"/>
  <c r="I18" i="4"/>
  <c r="M18" i="4"/>
  <c r="N18" i="4"/>
  <c r="C18" i="4"/>
  <c r="E15" i="4"/>
  <c r="I15" i="4"/>
  <c r="J15" i="4"/>
  <c r="K15" i="4"/>
  <c r="M15" i="4"/>
  <c r="C15" i="4"/>
  <c r="E12" i="4"/>
  <c r="F12" i="4"/>
  <c r="G12" i="4"/>
  <c r="I12" i="4"/>
  <c r="M12" i="4"/>
  <c r="N12" i="4"/>
  <c r="C12" i="4"/>
  <c r="F9" i="4"/>
  <c r="J9" i="4"/>
  <c r="K9" i="4"/>
  <c r="N9" i="4"/>
  <c r="J6" i="4"/>
  <c r="N20" i="4"/>
  <c r="M20" i="4"/>
  <c r="L20" i="4"/>
  <c r="K20" i="4"/>
  <c r="J20" i="4"/>
  <c r="I20" i="4"/>
  <c r="H20" i="4"/>
  <c r="G20" i="4"/>
  <c r="F20" i="4"/>
  <c r="E20" i="4"/>
  <c r="D20" i="4"/>
  <c r="O20" i="4" s="1"/>
  <c r="C20" i="4"/>
  <c r="N17" i="4"/>
  <c r="M17" i="4"/>
  <c r="L17" i="4"/>
  <c r="L18" i="4" s="1"/>
  <c r="K17" i="4"/>
  <c r="K18" i="4" s="1"/>
  <c r="J17" i="4"/>
  <c r="J18" i="4" s="1"/>
  <c r="I17" i="4"/>
  <c r="H17" i="4"/>
  <c r="H18" i="4" s="1"/>
  <c r="G17" i="4"/>
  <c r="F17" i="4"/>
  <c r="E17" i="4"/>
  <c r="D17" i="4"/>
  <c r="D18" i="4" s="1"/>
  <c r="C17" i="4"/>
  <c r="O17" i="4" s="1"/>
  <c r="N14" i="4"/>
  <c r="N15" i="4" s="1"/>
  <c r="M14" i="4"/>
  <c r="L14" i="4"/>
  <c r="L15" i="4" s="1"/>
  <c r="K14" i="4"/>
  <c r="J14" i="4"/>
  <c r="I14" i="4"/>
  <c r="H14" i="4"/>
  <c r="H15" i="4" s="1"/>
  <c r="G14" i="4"/>
  <c r="G15" i="4" s="1"/>
  <c r="F14" i="4"/>
  <c r="F15" i="4" s="1"/>
  <c r="E14" i="4"/>
  <c r="D14" i="4"/>
  <c r="O14" i="4" s="1"/>
  <c r="C14" i="4"/>
  <c r="N11" i="4"/>
  <c r="M11" i="4"/>
  <c r="L11" i="4"/>
  <c r="L12" i="4" s="1"/>
  <c r="K11" i="4"/>
  <c r="K12" i="4" s="1"/>
  <c r="J11" i="4"/>
  <c r="J12" i="4" s="1"/>
  <c r="I11" i="4"/>
  <c r="H11" i="4"/>
  <c r="O11" i="4" s="1"/>
  <c r="G11" i="4"/>
  <c r="F11" i="4"/>
  <c r="E11" i="4"/>
  <c r="D11" i="4"/>
  <c r="D12" i="4" s="1"/>
  <c r="C11" i="4"/>
  <c r="N8" i="4"/>
  <c r="M8" i="4"/>
  <c r="M9" i="4" s="1"/>
  <c r="L8" i="4"/>
  <c r="L9" i="4" s="1"/>
  <c r="K8" i="4"/>
  <c r="J8" i="4"/>
  <c r="I8" i="4"/>
  <c r="I9" i="4" s="1"/>
  <c r="H8" i="4"/>
  <c r="H9" i="4" s="1"/>
  <c r="G8" i="4"/>
  <c r="G9" i="4" s="1"/>
  <c r="F8" i="4"/>
  <c r="E8" i="4"/>
  <c r="E9" i="4" s="1"/>
  <c r="D8" i="4"/>
  <c r="D9" i="4" s="1"/>
  <c r="C5" i="4"/>
  <c r="D5" i="4"/>
  <c r="D6" i="4" s="1"/>
  <c r="E5" i="4"/>
  <c r="E6" i="4" s="1"/>
  <c r="F5" i="4"/>
  <c r="F6" i="4" s="1"/>
  <c r="G5" i="4"/>
  <c r="G6" i="4" s="1"/>
  <c r="H5" i="4"/>
  <c r="H6" i="4" s="1"/>
  <c r="I5" i="4"/>
  <c r="I6" i="4" s="1"/>
  <c r="J5" i="4"/>
  <c r="K5" i="4"/>
  <c r="K6" i="4" s="1"/>
  <c r="L5" i="4"/>
  <c r="L6" i="4" s="1"/>
  <c r="M5" i="4"/>
  <c r="M6" i="4" s="1"/>
  <c r="N5" i="4"/>
  <c r="N6" i="4" s="1"/>
  <c r="N19" i="4"/>
  <c r="M19" i="4"/>
  <c r="L19" i="4"/>
  <c r="K19" i="4"/>
  <c r="J19" i="4"/>
  <c r="I19" i="4"/>
  <c r="H19" i="4"/>
  <c r="G19" i="4"/>
  <c r="F19" i="4"/>
  <c r="E19" i="4"/>
  <c r="D19" i="4"/>
  <c r="O19" i="4" s="1"/>
  <c r="C19" i="4"/>
  <c r="N16" i="4"/>
  <c r="M16" i="4"/>
  <c r="L16" i="4"/>
  <c r="K16" i="4"/>
  <c r="J16" i="4"/>
  <c r="I16" i="4"/>
  <c r="H16" i="4"/>
  <c r="G16" i="4"/>
  <c r="F16" i="4"/>
  <c r="E16" i="4"/>
  <c r="D16" i="4"/>
  <c r="C16" i="4"/>
  <c r="O16" i="4" s="1"/>
  <c r="N13" i="4"/>
  <c r="M13" i="4"/>
  <c r="L13" i="4"/>
  <c r="K13" i="4"/>
  <c r="J13" i="4"/>
  <c r="I13" i="4"/>
  <c r="H13" i="4"/>
  <c r="G13" i="4"/>
  <c r="F13" i="4"/>
  <c r="E13" i="4"/>
  <c r="D13" i="4"/>
  <c r="O13" i="4" s="1"/>
  <c r="C13" i="4"/>
  <c r="N10" i="4"/>
  <c r="M10" i="4"/>
  <c r="L10" i="4"/>
  <c r="K10" i="4"/>
  <c r="J10" i="4"/>
  <c r="I10" i="4"/>
  <c r="H10" i="4"/>
  <c r="O10" i="4" s="1"/>
  <c r="G10" i="4"/>
  <c r="F10" i="4"/>
  <c r="E10" i="4"/>
  <c r="D10" i="4"/>
  <c r="C10" i="4"/>
  <c r="N7" i="4"/>
  <c r="M7" i="4"/>
  <c r="L7" i="4"/>
  <c r="K7" i="4"/>
  <c r="J7" i="4"/>
  <c r="I7" i="4"/>
  <c r="H7" i="4"/>
  <c r="G7" i="4"/>
  <c r="F7" i="4"/>
  <c r="E7" i="4"/>
  <c r="D7" i="4"/>
  <c r="O7" i="4" s="1"/>
  <c r="C7" i="4"/>
  <c r="N4" i="4"/>
  <c r="M4" i="4"/>
  <c r="L4" i="4"/>
  <c r="K4" i="4"/>
  <c r="J4" i="4"/>
  <c r="I4" i="4"/>
  <c r="H4" i="4"/>
  <c r="G4" i="4"/>
  <c r="F4" i="4"/>
  <c r="E4" i="4"/>
  <c r="D4" i="4"/>
  <c r="C4" i="4"/>
  <c r="O11" i="2"/>
  <c r="E11" i="2"/>
  <c r="F11" i="2"/>
  <c r="G11" i="2"/>
  <c r="H11" i="2"/>
  <c r="I11" i="2"/>
  <c r="J11" i="2"/>
  <c r="K11" i="2"/>
  <c r="L11" i="2"/>
  <c r="M11" i="2"/>
  <c r="N11" i="2"/>
  <c r="D11" i="2"/>
  <c r="C11" i="2"/>
  <c r="B11" i="2"/>
  <c r="O9" i="2"/>
  <c r="O8" i="2"/>
  <c r="O7" i="2"/>
  <c r="O6" i="2"/>
  <c r="O5" i="2"/>
  <c r="C5" i="2"/>
  <c r="C6" i="2"/>
  <c r="C7" i="2"/>
  <c r="C8" i="2"/>
  <c r="C9" i="2"/>
  <c r="O4" i="2"/>
  <c r="C4" i="2"/>
  <c r="O8" i="4" l="1"/>
  <c r="O24" i="4" s="1"/>
  <c r="O25" i="4" s="1"/>
  <c r="O12" i="4"/>
  <c r="P12" i="4" s="1"/>
  <c r="Q12" i="4" s="1"/>
  <c r="P18" i="4"/>
  <c r="Q18" i="4" s="1"/>
  <c r="H12" i="4"/>
  <c r="D15" i="4"/>
  <c r="P15" i="4" s="1"/>
  <c r="Q15" i="4" s="1"/>
  <c r="C6" i="4"/>
  <c r="C9" i="4"/>
  <c r="P9" i="4" s="1"/>
  <c r="Q9" i="4" s="1"/>
</calcChain>
</file>

<file path=xl/sharedStrings.xml><?xml version="1.0" encoding="utf-8"?>
<sst xmlns="http://schemas.openxmlformats.org/spreadsheetml/2006/main" count="257" uniqueCount="147">
  <si>
    <t>BUDGET VS ACTUAL VARIANCE TRACKER</t>
  </si>
  <si>
    <t>Nova Tech Soutions Pvt.Ltd.|FY 2024-25|IT Services|Bengaluru,India</t>
  </si>
  <si>
    <t>Project Details</t>
  </si>
  <si>
    <t>Prepared by</t>
  </si>
  <si>
    <t>Qualification</t>
  </si>
  <si>
    <t>Financial Year</t>
  </si>
  <si>
    <t>Currency</t>
  </si>
  <si>
    <t>Company</t>
  </si>
  <si>
    <t>Muhammed Ramees A</t>
  </si>
  <si>
    <t>CMA (USA) | BCOM Graduate</t>
  </si>
  <si>
    <t>April 2024-March 2025</t>
  </si>
  <si>
    <r>
      <t xml:space="preserve">Indian Rupees(INR)-all amounts in full </t>
    </r>
    <r>
      <rPr>
        <sz val="11"/>
        <color theme="1"/>
        <rFont val="Aptos Narrow"/>
        <family val="2"/>
      </rPr>
      <t>₹</t>
    </r>
  </si>
  <si>
    <t>NovaTech Soulutions Pvt.Ltd.IT Services,Bengaluru</t>
  </si>
  <si>
    <t>Departments Tracked</t>
  </si>
  <si>
    <t>6 Departments |12 Months|72 Data points</t>
  </si>
  <si>
    <t>Data type</t>
  </si>
  <si>
    <t>Fictional -Created for Portfolio Demonstration Purposes</t>
  </si>
  <si>
    <t>Tool used</t>
  </si>
  <si>
    <t>Microsoft Excel-Advanced Excel techniques</t>
  </si>
  <si>
    <t>How to use this file</t>
  </si>
  <si>
    <t>Note — Never type in green or yellow cells anywhere in this workbook</t>
  </si>
  <si>
    <t>DISCLAIMER: All financial data in this workbook is entirely fictional and created solely for portfolio and skill demonstration purposes. NovaTech Solutions Pvt. Ltd. is a fictional company. This workbook does not represent any real company, organisation, or financial event.</t>
  </si>
  <si>
    <t xml:space="preserve">Step 2-- Go to the Data entry sheet to view or enter monthly actual spend </t>
  </si>
  <si>
    <t>Step 1 --Go to the Assumptions sheet and review department budgets</t>
  </si>
  <si>
    <t>Step 3-- The Calculations sheet updates automatically — do not type here</t>
  </si>
  <si>
    <t>Step 4-- Go to the Dashboard sheet for charts, KPIs and variance summary</t>
  </si>
  <si>
    <t>Budget Assumptions--FY 2024-25</t>
  </si>
  <si>
    <t xml:space="preserve">Department </t>
  </si>
  <si>
    <t>Total Check</t>
  </si>
  <si>
    <r>
      <t>Annual Budget (</t>
    </r>
    <r>
      <rPr>
        <b/>
        <sz val="11"/>
        <color theme="1"/>
        <rFont val="Aptos Narrow"/>
        <family val="2"/>
      </rPr>
      <t>₹</t>
    </r>
    <r>
      <rPr>
        <b/>
        <sz val="7.9"/>
        <color theme="1"/>
        <rFont val="Aptos Narrow"/>
        <family val="2"/>
      </rPr>
      <t>)</t>
    </r>
  </si>
  <si>
    <t>Human Resources</t>
  </si>
  <si>
    <t>Operations</t>
  </si>
  <si>
    <t>TOTAL</t>
  </si>
  <si>
    <t>Technology &amp; IT</t>
  </si>
  <si>
    <t>Finance &amp; Admin</t>
  </si>
  <si>
    <t>Research &amp; Development</t>
  </si>
  <si>
    <t>Note: Monthly budgets are calculated as Annual Budget ÷ 12 (equal monthly split). To use seasonal weightings, replace the ÷12 formula with department-specific monthly percentages.</t>
  </si>
  <si>
    <t>Sales &amp; Marketing</t>
  </si>
  <si>
    <t>Monthly Actual Spend --Data Entry | Nova Tech Solutions Pvt .Ltd| FY 2024-25</t>
  </si>
  <si>
    <t>Use the dropdowns in column B and C .Only type in the blue cells .Do not edit yellow or grey cells</t>
  </si>
  <si>
    <t>No.</t>
  </si>
  <si>
    <t>Month</t>
  </si>
  <si>
    <t>Department</t>
  </si>
  <si>
    <t>Notes / Remarks</t>
  </si>
  <si>
    <r>
      <t>Actual Spend (</t>
    </r>
    <r>
      <rPr>
        <b/>
        <sz val="11"/>
        <color rgb="FF002060"/>
        <rFont val="Aptos Narrow"/>
        <family val="2"/>
      </rPr>
      <t>₹</t>
    </r>
    <r>
      <rPr>
        <b/>
        <sz val="6.5"/>
        <color rgb="FF002060"/>
        <rFont val="Aptos Narrow"/>
        <family val="2"/>
      </rPr>
      <t>)</t>
    </r>
  </si>
  <si>
    <t>UAE client pitch-- increased campaign and travel spend</t>
  </si>
  <si>
    <t>Sever upgrade delayed to May --under budget this month</t>
  </si>
  <si>
    <t>Minor payroll adjustment for new joiner</t>
  </si>
  <si>
    <t>March vendor invoice processed late — included this month</t>
  </si>
  <si>
    <t>Renegotiated office supply contract — cost savings achieved</t>
  </si>
  <si>
    <t>New prototype tool subscription commenced</t>
  </si>
  <si>
    <t>Below budget — one vacancy unfilled, recruitment on hold</t>
  </si>
  <si>
    <t>Utility bills lower due to mild weather — under budget</t>
  </si>
  <si>
    <t>Annual software licence renewal — minor overspend</t>
  </si>
  <si>
    <t>Prototype phase paused pending design review</t>
  </si>
  <si>
    <t>Dubai trade event — travel, booth, and hospitality costs</t>
  </si>
  <si>
    <t>Cloud cost optimisation saved ₹12,000 vs budget</t>
  </si>
  <si>
    <t>One training workshop conducted for team leads</t>
  </si>
  <si>
    <t>ummer electricity costs higher — AC usage increase</t>
  </si>
  <si>
    <t>Savings from digital filing — reduced printing costs</t>
  </si>
  <si>
    <t>External developer engaged for prototype module testing</t>
  </si>
  <si>
    <t>Campaign paused — team restructuring in progress</t>
  </si>
  <si>
    <t>Platform migration commenced — AWS dual-running costs begin</t>
  </si>
  <si>
    <t>Normal payroll month — no recruitment activity</t>
  </si>
  <si>
    <t>Facilities management within budget</t>
  </si>
  <si>
    <t>Quarterly GST filing — compliance cost slightly ove</t>
  </si>
  <si>
    <t>AI prototype model training — cloud compute costs</t>
  </si>
  <si>
    <t>Campaign still paused — headcount saving offsets minor costs</t>
  </si>
  <si>
    <t>Platform migration peak — old and new servers running simultaneously</t>
  </si>
  <si>
    <t>Campus recruitment drive begins — agency fees and assessments</t>
  </si>
  <si>
    <t>HVAC maintenance — scheduled service within budget</t>
  </si>
  <si>
    <t>Cost savings from automated reconciliation tool</t>
  </si>
  <si>
    <t>Prototype cloud compute costs continuing</t>
  </si>
  <si>
    <t>Client renewal push — account management travel costs</t>
  </si>
  <si>
    <t>Migration peak month — highest dual-infrastructure cost</t>
  </si>
  <si>
    <t>Campus recruitment drive — 4 colleges visited, offer letters issued</t>
  </si>
  <si>
    <t>One-time HVAC repair — unplanned maintenance expense</t>
  </si>
  <si>
    <t>Near-budget month — no unusual items</t>
  </si>
  <si>
    <t>Prototype review phase — lower compute usage</t>
  </si>
  <si>
    <t>Year-end deal push begins — lead generation campaigns</t>
  </si>
  <si>
    <t>Migration complete — old servers decommissioned, costs fall</t>
  </si>
  <si>
    <t>New hire induction and pre-joining engagement events</t>
  </si>
  <si>
    <t>Minor overspend on office consumables — year-end restocking</t>
  </si>
  <si>
    <t>External audit preparation — additional documentation suppor</t>
  </si>
  <si>
    <t>Prototype resumed — new external developer engagement</t>
  </si>
  <si>
    <t>Under budget — two senior sales staff on leave</t>
  </si>
  <si>
    <t>Post-migration savings — only new infrastructure costs</t>
  </si>
  <si>
    <t>Onboarding training for campus recruits — batch induction</t>
  </si>
  <si>
    <t>Facilities within budget — no unplanned items</t>
  </si>
  <si>
    <t>Statutory audit invoice received — partial payment this month</t>
  </si>
  <si>
    <t>Developer costs for prototype feature build continuing</t>
  </si>
  <si>
    <t>Holiday slowdown — campaigns paused, staff on leave</t>
  </si>
  <si>
    <t>Under budget — no new projects, maintenance mode only</t>
  </si>
  <si>
    <t>Year-end employee welfare event — staff party expenses</t>
  </si>
  <si>
    <t>Reduced operations over holiday period — lower utility costs</t>
  </si>
  <si>
    <t>Year-end cost controls — discretionary spend frozen</t>
  </si>
  <si>
    <t>Prototype on hold — team on annual leave, compute paused</t>
  </si>
  <si>
    <t>New year campaign launch — digital spend resumes strongly</t>
  </si>
  <si>
    <t>New Microsoft 365 enterprise licence — annual renewal</t>
  </si>
  <si>
    <t>Normal payroll month — new hires settled in</t>
  </si>
  <si>
    <t>Lease increment effective January — rent revision applied</t>
  </si>
  <si>
    <t>Annual compliance filing fees and ROC charges</t>
  </si>
  <si>
    <t>Prototype feature testing resumes — external QA engagement</t>
  </si>
  <si>
    <t>Contract renewal push — key account visits and proposals</t>
  </si>
  <si>
    <t>Cybersecurity tool upgrade — annual subscription renewed</t>
  </si>
  <si>
    <t>Leadership training programme — two-day offsite workshop</t>
  </si>
  <si>
    <t>Office refurbishment — partial repainting and furniture replacement</t>
  </si>
  <si>
    <t>Normal month — minor overspend on courier and postage</t>
  </si>
  <si>
    <t>Prototype final build phase — developer costs peak</t>
  </si>
  <si>
    <t>GITEX follow-up campaign — year-end client events and hospitality</t>
  </si>
  <si>
    <t>Year-end infrastructure review — minor upgrades completed</t>
  </si>
  <si>
    <t>Year-end payroll processing and bonus documentation costs</t>
  </si>
  <si>
    <t>Annual lease renewal — higher rent from April budgeted</t>
  </si>
  <si>
    <t>Statutory audit final invoice and year-end compliance costs</t>
  </si>
  <si>
    <t>Prototype delivered — final developer sign-off and documentation</t>
  </si>
  <si>
    <t>Variance  Analysis- FY 2024-25| Nova Tech Solutions Pvt.Ltd.</t>
  </si>
  <si>
    <t>Metric</t>
  </si>
  <si>
    <t>Full Year</t>
  </si>
  <si>
    <t>Var %</t>
  </si>
  <si>
    <t>Status</t>
  </si>
  <si>
    <r>
      <t>Budget (</t>
    </r>
    <r>
      <rPr>
        <sz val="11"/>
        <color theme="1"/>
        <rFont val="Aptos Narrow"/>
        <family val="2"/>
      </rPr>
      <t>₹)</t>
    </r>
  </si>
  <si>
    <t>Actual  (₹)</t>
  </si>
  <si>
    <t>Variance  (₹)</t>
  </si>
  <si>
    <t>GRAND TOTAL</t>
  </si>
  <si>
    <t>Nova Tech Solutions Pvt. Ltd.- Budget vs Actual Dashboard</t>
  </si>
  <si>
    <r>
      <t>FY 2024-25 | IT Services | Bengaluru,India | All amounts in Indian Rupees (</t>
    </r>
    <r>
      <rPr>
        <sz val="10"/>
        <color theme="0"/>
        <rFont val="Aptos Narrow"/>
        <family val="2"/>
      </rPr>
      <t>₹)</t>
    </r>
  </si>
  <si>
    <t>TOTAL ANNUAL BUDGET</t>
  </si>
  <si>
    <t>FY 2024-25 Plan</t>
  </si>
  <si>
    <t>TOTAL ACTUAL SPEND</t>
  </si>
  <si>
    <t>Full Year Actuals</t>
  </si>
  <si>
    <t>FULL YEAR VARIANCE</t>
  </si>
  <si>
    <t>Over Budget</t>
  </si>
  <si>
    <t>VARIANCE %</t>
  </si>
  <si>
    <t>Above Plan</t>
  </si>
  <si>
    <t>Variance %</t>
  </si>
  <si>
    <t>Research &amp; development</t>
  </si>
  <si>
    <t xml:space="preserve">Month </t>
  </si>
  <si>
    <t>Budget</t>
  </si>
  <si>
    <t>Actual</t>
  </si>
  <si>
    <r>
      <t>Annual Budget(</t>
    </r>
    <r>
      <rPr>
        <sz val="11"/>
        <color theme="1"/>
        <rFont val="Aptos Narrow"/>
        <family val="2"/>
      </rPr>
      <t>₹</t>
    </r>
    <r>
      <rPr>
        <sz val="5.3"/>
        <color theme="1"/>
        <rFont val="Aptos Narrow"/>
        <family val="2"/>
      </rPr>
      <t>)</t>
    </r>
  </si>
  <si>
    <t>Full Year Actual (₹)</t>
  </si>
  <si>
    <t>Variance (₹)</t>
  </si>
  <si>
    <t>Variance (%)</t>
  </si>
  <si>
    <t>NovaTech Solutions Pvt. Ltd.  |  Fictional data — for portfolio demonstration only  |  Prepared by Muhammed Ramees A  |  CMA (USA)</t>
  </si>
  <si>
    <t>RAW DATA --Source Reference</t>
  </si>
  <si>
    <t>All actual spend data is entered in the Data Entry sheet and referenced here.
The ActualData table in Data Entry sheet contains all 72 transaction records
for FY 2024-25. This sheet serves as a data source reference tab.</t>
  </si>
  <si>
    <t>To view all 72 rows of actual data — go to the Data Entry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</si>
</sst>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0.0%"/>
    <numFmt numFmtId="168" formatCode="&quot;₹&quot;\ #,##0.0"/>
  </numFmts>
  <fonts count="4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1"/>
      <color rgb="FFDBEAFE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 tint="4.9989318521683403E-2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1"/>
      <name val="Aptos Narrow"/>
      <family val="2"/>
    </font>
    <font>
      <b/>
      <sz val="7.9"/>
      <color theme="1"/>
      <name val="Aptos Narrow"/>
      <family val="2"/>
    </font>
    <font>
      <sz val="11"/>
      <color rgb="FF1E3A8A"/>
      <name val="Aptos Narrow"/>
      <family val="2"/>
      <scheme val="minor"/>
    </font>
    <font>
      <sz val="11"/>
      <color rgb="FF14532D"/>
      <name val="Aptos Narrow"/>
      <family val="2"/>
      <scheme val="minor"/>
    </font>
    <font>
      <sz val="11"/>
      <color rgb="FF713F1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10"/>
      <color theme="2" tint="-0.499984740745262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</font>
    <font>
      <b/>
      <sz val="6.5"/>
      <color rgb="FF002060"/>
      <name val="Aptos Narrow"/>
      <family val="2"/>
    </font>
    <font>
      <sz val="10"/>
      <color theme="2" tint="-0.749992370372631"/>
      <name val="Aptos Narrow"/>
      <family val="2"/>
      <scheme val="minor"/>
    </font>
    <font>
      <sz val="10"/>
      <color theme="1"/>
      <name val="Arial"/>
      <family val="2"/>
    </font>
    <font>
      <sz val="6"/>
      <color theme="1"/>
      <name val="Courier New"/>
      <family val="3"/>
    </font>
    <font>
      <sz val="14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1D4ED8"/>
      <name val="Aptos Narrow"/>
      <family val="2"/>
      <scheme val="minor"/>
    </font>
    <font>
      <sz val="10"/>
      <color rgb="FF15803D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0"/>
      <name val="Aptos Narrow"/>
      <family val="2"/>
    </font>
    <font>
      <b/>
      <sz val="9"/>
      <color rgb="FF1D4ED8"/>
      <name val="Aptos Narrow"/>
      <family val="2"/>
      <scheme val="minor"/>
    </font>
    <font>
      <b/>
      <sz val="16"/>
      <color rgb="FF1E3A8A"/>
      <name val="Aptos Narrow"/>
      <family val="2"/>
      <scheme val="minor"/>
    </font>
    <font>
      <sz val="9"/>
      <color rgb="FF6B7280"/>
      <name val="Aptos Narrow"/>
      <family val="2"/>
      <scheme val="minor"/>
    </font>
    <font>
      <b/>
      <sz val="16"/>
      <color rgb="FF15803D"/>
      <name val="Aptos Narrow"/>
      <family val="2"/>
      <scheme val="minor"/>
    </font>
    <font>
      <b/>
      <sz val="9"/>
      <color rgb="FF15803D"/>
      <name val="Aptos Narrow"/>
      <family val="2"/>
      <scheme val="minor"/>
    </font>
    <font>
      <b/>
      <sz val="9"/>
      <color rgb="FFDC2626"/>
      <name val="Aptos Narrow"/>
      <family val="2"/>
      <scheme val="minor"/>
    </font>
    <font>
      <sz val="9"/>
      <color rgb="FFDC262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92400E"/>
      <name val="Aptos Narrow"/>
      <family val="2"/>
      <scheme val="minor"/>
    </font>
    <font>
      <b/>
      <sz val="9"/>
      <color rgb="FF92400E"/>
      <name val="Aptos Narrow"/>
      <family val="2"/>
      <scheme val="minor"/>
    </font>
    <font>
      <sz val="9"/>
      <color rgb="FF92400E"/>
      <name val="Aptos Narrow"/>
      <family val="2"/>
      <scheme val="minor"/>
    </font>
    <font>
      <sz val="5.3"/>
      <color theme="1"/>
      <name val="Aptos Narrow"/>
      <family val="2"/>
    </font>
    <font>
      <sz val="11"/>
      <color theme="0" tint="-0.34998626667073579"/>
      <name val="Aptos Narrow"/>
      <family val="2"/>
      <scheme val="minor"/>
    </font>
    <font>
      <i/>
      <sz val="11"/>
      <color rgb="FF6B728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9FBF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1" fillId="0" borderId="0" applyFont="0" applyFill="0" applyBorder="0" applyAlignment="0" applyProtection="0"/>
  </cellStyleXfs>
  <cellXfs count="138">
    <xf numFmtId="0" fontId="0" fillId="0" borderId="0" xfId="0"/>
    <xf numFmtId="0" fontId="6" fillId="3" borderId="0" xfId="0" applyFont="1" applyFill="1"/>
    <xf numFmtId="0" fontId="1" fillId="3" borderId="0" xfId="0" applyFont="1" applyFill="1"/>
    <xf numFmtId="0" fontId="2" fillId="0" borderId="0" xfId="0" applyFont="1"/>
    <xf numFmtId="0" fontId="2" fillId="4" borderId="0" xfId="0" applyFont="1" applyFill="1"/>
    <xf numFmtId="0" fontId="0" fillId="0" borderId="1" xfId="0" applyBorder="1"/>
    <xf numFmtId="0" fontId="0" fillId="5" borderId="0" xfId="0" applyFill="1"/>
    <xf numFmtId="0" fontId="8" fillId="0" borderId="0" xfId="0" applyFont="1"/>
    <xf numFmtId="0" fontId="10" fillId="0" borderId="0" xfId="0" applyFont="1"/>
    <xf numFmtId="0" fontId="9" fillId="8" borderId="0" xfId="0" applyFont="1" applyFill="1"/>
    <xf numFmtId="0" fontId="2" fillId="10" borderId="5" xfId="0" applyFont="1" applyFill="1" applyBorder="1" applyAlignment="1">
      <alignment horizontal="left"/>
    </xf>
    <xf numFmtId="0" fontId="2" fillId="10" borderId="5" xfId="0" applyFont="1" applyFill="1" applyBorder="1"/>
    <xf numFmtId="17" fontId="2" fillId="10" borderId="5" xfId="0" applyNumberFormat="1" applyFont="1" applyFill="1" applyBorder="1"/>
    <xf numFmtId="0" fontId="0" fillId="11" borderId="0" xfId="0" applyFill="1" applyAlignment="1">
      <alignment horizontal="left"/>
    </xf>
    <xf numFmtId="164" fontId="15" fillId="12" borderId="0" xfId="0" applyNumberFormat="1" applyFont="1" applyFill="1"/>
    <xf numFmtId="3" fontId="16" fillId="13" borderId="0" xfId="0" applyNumberFormat="1" applyFont="1" applyFill="1"/>
    <xf numFmtId="164" fontId="17" fillId="6" borderId="0" xfId="0" applyNumberFormat="1" applyFont="1" applyFill="1"/>
    <xf numFmtId="0" fontId="2" fillId="10" borderId="6" xfId="0" applyFont="1" applyFill="1" applyBorder="1"/>
    <xf numFmtId="164" fontId="2" fillId="10" borderId="6" xfId="0" applyNumberFormat="1" applyFont="1" applyFill="1" applyBorder="1"/>
    <xf numFmtId="0" fontId="21" fillId="3" borderId="5" xfId="0" applyFont="1" applyFill="1" applyBorder="1"/>
    <xf numFmtId="0" fontId="24" fillId="0" borderId="0" xfId="0" applyFont="1" applyAlignment="1">
      <alignment horizontal="center"/>
    </xf>
    <xf numFmtId="0" fontId="0" fillId="16" borderId="0" xfId="0" applyFill="1"/>
    <xf numFmtId="164" fontId="0" fillId="0" borderId="0" xfId="0" applyNumberFormat="1"/>
    <xf numFmtId="0" fontId="0" fillId="17" borderId="0" xfId="0" applyFill="1"/>
    <xf numFmtId="17" fontId="0" fillId="16" borderId="0" xfId="0" applyNumberFormat="1" applyFill="1"/>
    <xf numFmtId="0" fontId="4" fillId="0" borderId="0" xfId="0" applyFont="1"/>
    <xf numFmtId="0" fontId="25" fillId="0" borderId="0" xfId="0" applyFont="1"/>
    <xf numFmtId="0" fontId="26" fillId="0" borderId="0" xfId="0" applyFont="1"/>
    <xf numFmtId="3" fontId="2" fillId="0" borderId="1" xfId="0" applyNumberFormat="1" applyFont="1" applyBorder="1"/>
    <xf numFmtId="0" fontId="30" fillId="21" borderId="1" xfId="0" applyFont="1" applyFill="1" applyBorder="1"/>
    <xf numFmtId="0" fontId="28" fillId="5" borderId="1" xfId="0" applyFont="1" applyFill="1" applyBorder="1"/>
    <xf numFmtId="3" fontId="0" fillId="0" borderId="1" xfId="0" applyNumberFormat="1" applyBorder="1"/>
    <xf numFmtId="0" fontId="0" fillId="0" borderId="8" xfId="0" applyBorder="1"/>
    <xf numFmtId="3" fontId="29" fillId="19" borderId="8" xfId="0" applyNumberFormat="1" applyFont="1" applyFill="1" applyBorder="1"/>
    <xf numFmtId="3" fontId="2" fillId="0" borderId="8" xfId="0" applyNumberFormat="1" applyFont="1" applyBorder="1"/>
    <xf numFmtId="0" fontId="0" fillId="0" borderId="9" xfId="0" applyBorder="1"/>
    <xf numFmtId="3" fontId="29" fillId="19" borderId="9" xfId="0" applyNumberFormat="1" applyFont="1" applyFill="1" applyBorder="1"/>
    <xf numFmtId="3" fontId="2" fillId="0" borderId="9" xfId="0" applyNumberFormat="1" applyFont="1" applyBorder="1"/>
    <xf numFmtId="0" fontId="0" fillId="0" borderId="7" xfId="0" applyBorder="1"/>
    <xf numFmtId="3" fontId="0" fillId="0" borderId="7" xfId="0" applyNumberFormat="1" applyBorder="1"/>
    <xf numFmtId="3" fontId="2" fillId="0" borderId="7" xfId="0" applyNumberFormat="1" applyFont="1" applyBorder="1"/>
    <xf numFmtId="0" fontId="4" fillId="0" borderId="7" xfId="0" applyFont="1" applyBorder="1"/>
    <xf numFmtId="0" fontId="28" fillId="0" borderId="7" xfId="0" applyFont="1" applyBorder="1"/>
    <xf numFmtId="0" fontId="4" fillId="0" borderId="7" xfId="0" applyFont="1" applyBorder="1" applyAlignment="1">
      <alignment horizontal="left" vertical="center" indent="1"/>
    </xf>
    <xf numFmtId="0" fontId="28" fillId="14" borderId="11" xfId="0" applyFont="1" applyFill="1" applyBorder="1" applyAlignment="1">
      <alignment horizontal="center"/>
    </xf>
    <xf numFmtId="0" fontId="28" fillId="14" borderId="10" xfId="0" applyFont="1" applyFill="1" applyBorder="1" applyAlignment="1">
      <alignment horizontal="center"/>
    </xf>
    <xf numFmtId="17" fontId="28" fillId="14" borderId="10" xfId="0" applyNumberFormat="1" applyFont="1" applyFill="1" applyBorder="1" applyAlignment="1">
      <alignment horizontal="center"/>
    </xf>
    <xf numFmtId="0" fontId="28" fillId="14" borderId="12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7" borderId="2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9" borderId="0" xfId="0" applyFont="1" applyFill="1" applyAlignment="1">
      <alignment horizontal="center"/>
    </xf>
    <xf numFmtId="0" fontId="19" fillId="14" borderId="0" xfId="0" applyFont="1" applyFill="1" applyAlignment="1">
      <alignment horizontal="center"/>
    </xf>
    <xf numFmtId="0" fontId="18" fillId="15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" fillId="20" borderId="9" xfId="0" applyFont="1" applyFill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0" fontId="2" fillId="20" borderId="7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center"/>
    </xf>
    <xf numFmtId="0" fontId="27" fillId="18" borderId="0" xfId="0" applyFont="1" applyFill="1" applyAlignment="1">
      <alignment horizontal="center"/>
    </xf>
    <xf numFmtId="0" fontId="2" fillId="20" borderId="8" xfId="0" applyFont="1" applyFill="1" applyBorder="1" applyAlignment="1">
      <alignment vertical="center"/>
    </xf>
    <xf numFmtId="0" fontId="36" fillId="23" borderId="15" xfId="0" applyFont="1" applyFill="1" applyBorder="1" applyAlignment="1">
      <alignment horizontal="center"/>
    </xf>
    <xf numFmtId="0" fontId="36" fillId="23" borderId="1" xfId="0" applyFont="1" applyFill="1" applyBorder="1" applyAlignment="1">
      <alignment horizontal="center"/>
    </xf>
    <xf numFmtId="0" fontId="36" fillId="23" borderId="20" xfId="0" applyFont="1" applyFill="1" applyBorder="1" applyAlignment="1">
      <alignment horizontal="center"/>
    </xf>
    <xf numFmtId="0" fontId="36" fillId="23" borderId="17" xfId="0" applyFont="1" applyFill="1" applyBorder="1" applyAlignment="1">
      <alignment horizontal="center"/>
    </xf>
    <xf numFmtId="0" fontId="36" fillId="23" borderId="7" xfId="0" applyFont="1" applyFill="1" applyBorder="1" applyAlignment="1">
      <alignment horizontal="center"/>
    </xf>
    <xf numFmtId="0" fontId="36" fillId="23" borderId="21" xfId="0" applyFont="1" applyFill="1" applyBorder="1" applyAlignment="1">
      <alignment horizontal="center"/>
    </xf>
    <xf numFmtId="0" fontId="39" fillId="24" borderId="13" xfId="0" applyFont="1" applyFill="1" applyBorder="1" applyAlignment="1">
      <alignment horizontal="center"/>
    </xf>
    <xf numFmtId="0" fontId="39" fillId="24" borderId="9" xfId="0" applyFont="1" applyFill="1" applyBorder="1" applyAlignment="1">
      <alignment horizontal="center"/>
    </xf>
    <xf numFmtId="0" fontId="39" fillId="24" borderId="15" xfId="0" applyFont="1" applyFill="1" applyBorder="1" applyAlignment="1">
      <alignment horizontal="center"/>
    </xf>
    <xf numFmtId="0" fontId="39" fillId="24" borderId="1" xfId="0" applyFont="1" applyFill="1" applyBorder="1" applyAlignment="1">
      <alignment horizontal="center"/>
    </xf>
    <xf numFmtId="164" fontId="31" fillId="0" borderId="15" xfId="0" applyNumberFormat="1" applyFont="1" applyBorder="1" applyAlignment="1">
      <alignment horizontal="center"/>
    </xf>
    <xf numFmtId="164" fontId="31" fillId="0" borderId="1" xfId="0" applyNumberFormat="1" applyFont="1" applyBorder="1" applyAlignment="1">
      <alignment horizontal="center"/>
    </xf>
    <xf numFmtId="0" fontId="40" fillId="24" borderId="15" xfId="0" applyFont="1" applyFill="1" applyBorder="1" applyAlignment="1">
      <alignment horizontal="center"/>
    </xf>
    <xf numFmtId="0" fontId="40" fillId="24" borderId="1" xfId="0" applyFont="1" applyFill="1" applyBorder="1" applyAlignment="1">
      <alignment horizontal="center"/>
    </xf>
    <xf numFmtId="0" fontId="40" fillId="24" borderId="17" xfId="0" applyFont="1" applyFill="1" applyBorder="1" applyAlignment="1">
      <alignment horizontal="center"/>
    </xf>
    <xf numFmtId="0" fontId="40" fillId="24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4" fillId="22" borderId="13" xfId="0" applyFont="1" applyFill="1" applyBorder="1" applyAlignment="1">
      <alignment horizontal="center"/>
    </xf>
    <xf numFmtId="0" fontId="34" fillId="22" borderId="9" xfId="0" applyFont="1" applyFill="1" applyBorder="1" applyAlignment="1">
      <alignment horizontal="center"/>
    </xf>
    <xf numFmtId="0" fontId="34" fillId="22" borderId="19" xfId="0" applyFont="1" applyFill="1" applyBorder="1" applyAlignment="1">
      <alignment horizontal="center"/>
    </xf>
    <xf numFmtId="0" fontId="34" fillId="22" borderId="15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20" xfId="0" applyFont="1" applyFill="1" applyBorder="1" applyAlignment="1">
      <alignment horizontal="center"/>
    </xf>
    <xf numFmtId="164" fontId="35" fillId="22" borderId="15" xfId="0" applyNumberFormat="1" applyFont="1" applyFill="1" applyBorder="1" applyAlignment="1">
      <alignment horizontal="center"/>
    </xf>
    <xf numFmtId="164" fontId="35" fillId="22" borderId="1" xfId="0" applyNumberFormat="1" applyFont="1" applyFill="1" applyBorder="1" applyAlignment="1">
      <alignment horizontal="center"/>
    </xf>
    <xf numFmtId="164" fontId="35" fillId="22" borderId="20" xfId="0" applyNumberFormat="1" applyFont="1" applyFill="1" applyBorder="1" applyAlignment="1">
      <alignment horizontal="center"/>
    </xf>
    <xf numFmtId="0" fontId="36" fillId="22" borderId="15" xfId="0" applyFont="1" applyFill="1" applyBorder="1" applyAlignment="1">
      <alignment horizontal="center"/>
    </xf>
    <xf numFmtId="0" fontId="36" fillId="22" borderId="1" xfId="0" applyFont="1" applyFill="1" applyBorder="1" applyAlignment="1">
      <alignment horizontal="center"/>
    </xf>
    <xf numFmtId="0" fontId="36" fillId="22" borderId="20" xfId="0" applyFont="1" applyFill="1" applyBorder="1" applyAlignment="1">
      <alignment horizontal="center"/>
    </xf>
    <xf numFmtId="0" fontId="36" fillId="22" borderId="17" xfId="0" applyFont="1" applyFill="1" applyBorder="1" applyAlignment="1">
      <alignment horizontal="center"/>
    </xf>
    <xf numFmtId="0" fontId="36" fillId="22" borderId="7" xfId="0" applyFont="1" applyFill="1" applyBorder="1" applyAlignment="1">
      <alignment horizontal="center"/>
    </xf>
    <xf numFmtId="0" fontId="36" fillId="22" borderId="21" xfId="0" applyFont="1" applyFill="1" applyBorder="1" applyAlignment="1">
      <alignment horizontal="center"/>
    </xf>
    <xf numFmtId="0" fontId="38" fillId="23" borderId="13" xfId="0" applyFont="1" applyFill="1" applyBorder="1" applyAlignment="1">
      <alignment horizontal="center"/>
    </xf>
    <xf numFmtId="0" fontId="38" fillId="23" borderId="9" xfId="0" applyFont="1" applyFill="1" applyBorder="1" applyAlignment="1">
      <alignment horizontal="center"/>
    </xf>
    <xf numFmtId="0" fontId="38" fillId="23" borderId="19" xfId="0" applyFont="1" applyFill="1" applyBorder="1" applyAlignment="1">
      <alignment horizontal="center"/>
    </xf>
    <xf numFmtId="0" fontId="38" fillId="23" borderId="15" xfId="0" applyFont="1" applyFill="1" applyBorder="1" applyAlignment="1">
      <alignment horizontal="center"/>
    </xf>
    <xf numFmtId="0" fontId="38" fillId="23" borderId="1" xfId="0" applyFont="1" applyFill="1" applyBorder="1" applyAlignment="1">
      <alignment horizontal="center"/>
    </xf>
    <xf numFmtId="0" fontId="38" fillId="23" borderId="20" xfId="0" applyFont="1" applyFill="1" applyBorder="1" applyAlignment="1">
      <alignment horizontal="center"/>
    </xf>
    <xf numFmtId="164" fontId="37" fillId="23" borderId="15" xfId="0" applyNumberFormat="1" applyFont="1" applyFill="1" applyBorder="1" applyAlignment="1">
      <alignment horizontal="center"/>
    </xf>
    <xf numFmtId="164" fontId="37" fillId="23" borderId="1" xfId="0" applyNumberFormat="1" applyFont="1" applyFill="1" applyBorder="1" applyAlignment="1">
      <alignment horizontal="center"/>
    </xf>
    <xf numFmtId="164" fontId="37" fillId="23" borderId="20" xfId="0" applyNumberFormat="1" applyFont="1" applyFill="1" applyBorder="1" applyAlignment="1">
      <alignment horizontal="center"/>
    </xf>
    <xf numFmtId="0" fontId="39" fillId="24" borderId="19" xfId="0" applyFont="1" applyFill="1" applyBorder="1" applyAlignment="1">
      <alignment horizontal="center"/>
    </xf>
    <xf numFmtId="0" fontId="39" fillId="24" borderId="20" xfId="0" applyFont="1" applyFill="1" applyBorder="1" applyAlignment="1">
      <alignment horizontal="center"/>
    </xf>
    <xf numFmtId="164" fontId="31" fillId="0" borderId="20" xfId="0" applyNumberFormat="1" applyFont="1" applyBorder="1" applyAlignment="1">
      <alignment horizontal="center"/>
    </xf>
    <xf numFmtId="0" fontId="40" fillId="24" borderId="20" xfId="0" applyFont="1" applyFill="1" applyBorder="1" applyAlignment="1">
      <alignment horizontal="center"/>
    </xf>
    <xf numFmtId="0" fontId="40" fillId="24" borderId="21" xfId="0" applyFont="1" applyFill="1" applyBorder="1" applyAlignment="1">
      <alignment horizontal="center"/>
    </xf>
    <xf numFmtId="0" fontId="44" fillId="6" borderId="1" xfId="0" applyFont="1" applyFill="1" applyBorder="1" applyAlignment="1">
      <alignment horizontal="center"/>
    </xf>
    <xf numFmtId="165" fontId="43" fillId="6" borderId="1" xfId="1" applyNumberFormat="1" applyFont="1" applyFill="1" applyBorder="1" applyAlignment="1">
      <alignment horizontal="center"/>
    </xf>
    <xf numFmtId="0" fontId="45" fillId="6" borderId="1" xfId="0" applyFont="1" applyFill="1" applyBorder="1" applyAlignment="1">
      <alignment horizontal="center"/>
    </xf>
    <xf numFmtId="0" fontId="44" fillId="6" borderId="13" xfId="0" applyFont="1" applyFill="1" applyBorder="1" applyAlignment="1">
      <alignment horizontal="center"/>
    </xf>
    <xf numFmtId="0" fontId="44" fillId="6" borderId="9" xfId="0" applyFont="1" applyFill="1" applyBorder="1" applyAlignment="1">
      <alignment horizontal="center"/>
    </xf>
    <xf numFmtId="0" fontId="44" fillId="6" borderId="14" xfId="0" applyFont="1" applyFill="1" applyBorder="1" applyAlignment="1">
      <alignment horizontal="center"/>
    </xf>
    <xf numFmtId="0" fontId="44" fillId="6" borderId="15" xfId="0" applyFont="1" applyFill="1" applyBorder="1" applyAlignment="1">
      <alignment horizontal="center"/>
    </xf>
    <xf numFmtId="0" fontId="44" fillId="6" borderId="16" xfId="0" applyFont="1" applyFill="1" applyBorder="1" applyAlignment="1">
      <alignment horizontal="center"/>
    </xf>
    <xf numFmtId="165" fontId="43" fillId="6" borderId="15" xfId="1" applyNumberFormat="1" applyFont="1" applyFill="1" applyBorder="1" applyAlignment="1">
      <alignment horizontal="center"/>
    </xf>
    <xf numFmtId="165" fontId="43" fillId="6" borderId="16" xfId="1" applyNumberFormat="1" applyFont="1" applyFill="1" applyBorder="1" applyAlignment="1">
      <alignment horizontal="center"/>
    </xf>
    <xf numFmtId="0" fontId="45" fillId="6" borderId="15" xfId="0" applyFont="1" applyFill="1" applyBorder="1" applyAlignment="1">
      <alignment horizontal="center"/>
    </xf>
    <xf numFmtId="0" fontId="45" fillId="6" borderId="16" xfId="0" applyFont="1" applyFill="1" applyBorder="1" applyAlignment="1">
      <alignment horizontal="center"/>
    </xf>
    <xf numFmtId="0" fontId="45" fillId="6" borderId="17" xfId="0" applyFont="1" applyFill="1" applyBorder="1" applyAlignment="1">
      <alignment horizontal="center"/>
    </xf>
    <xf numFmtId="0" fontId="45" fillId="6" borderId="7" xfId="0" applyFont="1" applyFill="1" applyBorder="1" applyAlignment="1">
      <alignment horizontal="center"/>
    </xf>
    <xf numFmtId="0" fontId="45" fillId="6" borderId="18" xfId="0" applyFont="1" applyFill="1" applyBorder="1" applyAlignment="1">
      <alignment horizontal="center"/>
    </xf>
    <xf numFmtId="168" fontId="0" fillId="0" borderId="1" xfId="0" applyNumberFormat="1" applyBorder="1"/>
    <xf numFmtId="165" fontId="0" fillId="0" borderId="1" xfId="0" applyNumberFormat="1" applyBorder="1"/>
    <xf numFmtId="0" fontId="0" fillId="9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47" fillId="0" borderId="0" xfId="0" applyFont="1" applyAlignment="1">
      <alignment horizontal="center"/>
    </xf>
    <xf numFmtId="0" fontId="42" fillId="0" borderId="0" xfId="0" applyFont="1"/>
    <xf numFmtId="17" fontId="42" fillId="0" borderId="0" xfId="0" applyNumberFormat="1" applyFont="1"/>
    <xf numFmtId="3" fontId="42" fillId="0" borderId="0" xfId="0" applyNumberFormat="1" applyFont="1"/>
    <xf numFmtId="0" fontId="2" fillId="8" borderId="0" xfId="0" applyFont="1" applyFill="1" applyAlignment="1">
      <alignment horizontal="center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46">
    <dxf>
      <font>
        <color rgb="FFDC2626"/>
      </font>
      <fill>
        <patternFill>
          <bgColor rgb="FFFEF2F2"/>
        </patternFill>
      </fill>
    </dxf>
    <dxf>
      <font>
        <color rgb="FF14532D"/>
      </font>
      <fill>
        <patternFill>
          <bgColor rgb="FFDCFCE7"/>
        </patternFill>
      </fill>
    </dxf>
    <dxf>
      <font>
        <color theme="0"/>
      </font>
      <fill>
        <patternFill>
          <bgColor rgb="FFDC2626"/>
        </patternFill>
      </fill>
    </dxf>
    <dxf>
      <font>
        <color theme="0" tint="-4.9989318521683403E-2"/>
      </font>
      <fill>
        <patternFill>
          <bgColor rgb="FFD97706"/>
        </patternFill>
      </fill>
    </dxf>
    <dxf>
      <font>
        <color theme="0"/>
      </font>
      <fill>
        <patternFill>
          <bgColor rgb="FF16A34A"/>
        </patternFill>
      </fill>
    </dxf>
    <dxf>
      <font>
        <color theme="0"/>
      </font>
      <fill>
        <patternFill>
          <bgColor rgb="FF1D4ED8"/>
        </patternFill>
      </fill>
    </dxf>
    <dxf>
      <font>
        <color theme="0"/>
      </font>
      <fill>
        <patternFill>
          <bgColor rgb="FFDC2626"/>
        </patternFill>
      </fill>
    </dxf>
    <dxf>
      <font>
        <color theme="0" tint="-4.9989318521683403E-2"/>
      </font>
      <fill>
        <patternFill>
          <bgColor rgb="FFD97706"/>
        </patternFill>
      </fill>
    </dxf>
    <dxf>
      <font>
        <color theme="0"/>
      </font>
      <fill>
        <patternFill>
          <bgColor rgb="FF16A34A"/>
        </patternFill>
      </fill>
    </dxf>
    <dxf>
      <font>
        <color theme="0"/>
      </font>
      <fill>
        <patternFill>
          <bgColor rgb="FF1D4ED8"/>
        </patternFill>
      </fill>
    </dxf>
    <dxf>
      <font>
        <color theme="0"/>
      </font>
      <fill>
        <patternFill>
          <bgColor rgb="FFDC2626"/>
        </patternFill>
      </fill>
    </dxf>
    <dxf>
      <font>
        <color theme="0" tint="-4.9989318521683403E-2"/>
      </font>
      <fill>
        <patternFill>
          <bgColor rgb="FFD97706"/>
        </patternFill>
      </fill>
    </dxf>
    <dxf>
      <font>
        <color theme="0"/>
      </font>
      <fill>
        <patternFill>
          <bgColor rgb="FF16A34A"/>
        </patternFill>
      </fill>
    </dxf>
    <dxf>
      <font>
        <color theme="0"/>
      </font>
      <fill>
        <patternFill>
          <bgColor rgb="FF1D4ED8"/>
        </patternFill>
      </fill>
    </dxf>
    <dxf>
      <font>
        <color theme="0"/>
      </font>
      <fill>
        <patternFill>
          <bgColor rgb="FFDC2626"/>
        </patternFill>
      </fill>
    </dxf>
    <dxf>
      <font>
        <color theme="0" tint="-4.9989318521683403E-2"/>
      </font>
      <fill>
        <patternFill>
          <bgColor rgb="FFD97706"/>
        </patternFill>
      </fill>
    </dxf>
    <dxf>
      <font>
        <color theme="0"/>
      </font>
      <fill>
        <patternFill>
          <bgColor rgb="FF16A34A"/>
        </patternFill>
      </fill>
    </dxf>
    <dxf>
      <font>
        <color theme="0"/>
      </font>
      <fill>
        <patternFill>
          <bgColor rgb="FF1D4ED8"/>
        </patternFill>
      </fill>
    </dxf>
    <dxf>
      <font>
        <color theme="0"/>
      </font>
      <fill>
        <patternFill>
          <bgColor rgb="FFDC2626"/>
        </patternFill>
      </fill>
    </dxf>
    <dxf>
      <font>
        <color theme="0" tint="-4.9989318521683403E-2"/>
      </font>
      <fill>
        <patternFill>
          <bgColor rgb="FFD97706"/>
        </patternFill>
      </fill>
    </dxf>
    <dxf>
      <font>
        <color theme="0"/>
      </font>
      <fill>
        <patternFill>
          <bgColor rgb="FF16A34A"/>
        </patternFill>
      </fill>
    </dxf>
    <dxf>
      <font>
        <color theme="0"/>
      </font>
      <fill>
        <patternFill>
          <bgColor rgb="FF1D4ED8"/>
        </patternFill>
      </fill>
    </dxf>
    <dxf>
      <font>
        <color theme="0"/>
      </font>
      <fill>
        <patternFill>
          <bgColor rgb="FFDC2626"/>
        </patternFill>
      </fill>
    </dxf>
    <dxf>
      <font>
        <color theme="0" tint="-4.9989318521683403E-2"/>
      </font>
      <fill>
        <patternFill>
          <bgColor rgb="FFD97706"/>
        </patternFill>
      </fill>
    </dxf>
    <dxf>
      <font>
        <color theme="0"/>
      </font>
      <fill>
        <patternFill>
          <bgColor rgb="FF16A34A"/>
        </patternFill>
      </fill>
    </dxf>
    <dxf>
      <font>
        <color theme="0"/>
      </font>
      <fill>
        <patternFill>
          <bgColor rgb="FF1D4ED8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ont>
        <color rgb="FF14532D"/>
      </font>
      <fill>
        <patternFill>
          <bgColor rgb="FFFEE2E2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4532D"/>
      </font>
      <fill>
        <patternFill>
          <bgColor rgb="FFDCFCE7"/>
        </patternFill>
      </fill>
    </dxf>
    <dxf>
      <fill>
        <patternFill patternType="solid">
          <fgColor indexed="64"/>
          <bgColor theme="0" tint="-4.9989318521683403E-2"/>
        </patternFill>
      </fill>
    </dxf>
    <dxf>
      <numFmt numFmtId="164" formatCode="&quot;₹&quot;\ #,##0"/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74999237037263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</dxfs>
  <tableStyles count="0" defaultTableStyle="TableStyleMedium2" defaultPivotStyle="PivotStyleLight16"/>
  <colors>
    <mruColors>
      <color rgb="FF6B7280"/>
      <color rgb="FFB91C1C"/>
      <color rgb="FFDC2626"/>
      <color rgb="FFFEF9C3"/>
      <color rgb="FF92400E"/>
      <color rgb="FF14532D"/>
      <color rgb="FFDCFCE7"/>
      <color rgb="FFFEF2F2"/>
      <color rgb="FFF0FDF4"/>
      <color rgb="FF1580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Full-Year</a:t>
            </a:r>
            <a:r>
              <a:rPr lang="en-US" baseline="0"/>
              <a:t> Variance Department (</a:t>
            </a:r>
            <a:r>
              <a:rPr lang="en-US"/>
              <a:t>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DASHBOARD!$Q$3</c:f>
              <c:strCache>
                <c:ptCount val="1"/>
                <c:pt idx="0">
                  <c:v>Variance %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DC262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DC262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60-41F0-B3AB-46A444F1C3E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DC262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B60-41F0-B3AB-46A444F1C3ED}"/>
              </c:ext>
            </c:extLst>
          </c:dPt>
          <c:dPt>
            <c:idx val="2"/>
            <c:invertIfNegative val="0"/>
            <c:bubble3D val="0"/>
            <c:spPr>
              <a:solidFill>
                <a:srgbClr val="B91C1C"/>
              </a:solidFill>
              <a:ln>
                <a:solidFill>
                  <a:srgbClr val="DC262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60-41F0-B3AB-46A444F1C3E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DC262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60-41F0-B3AB-46A444F1C3E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DC262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B60-41F0-B3AB-46A444F1C3E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rgbClr val="DC262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B60-41F0-B3AB-46A444F1C3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DASHBOARD!$P$4:$P$9</c:f>
              <c:strCache>
                <c:ptCount val="6"/>
                <c:pt idx="0">
                  <c:v>Sales &amp; Marketing</c:v>
                </c:pt>
                <c:pt idx="1">
                  <c:v>Technology &amp; IT</c:v>
                </c:pt>
                <c:pt idx="2">
                  <c:v>Human Resources</c:v>
                </c:pt>
                <c:pt idx="3">
                  <c:v>Operations</c:v>
                </c:pt>
                <c:pt idx="4">
                  <c:v>Finance &amp; Admin</c:v>
                </c:pt>
                <c:pt idx="5">
                  <c:v>Research &amp; development</c:v>
                </c:pt>
              </c:strCache>
            </c:strRef>
          </c:cat>
          <c:val>
            <c:numRef>
              <c:f>DASHBOARD!$Q$4:$Q$9</c:f>
              <c:numCache>
                <c:formatCode>General</c:formatCode>
                <c:ptCount val="6"/>
                <c:pt idx="0">
                  <c:v>5.1458333333333335E-2</c:v>
                </c:pt>
                <c:pt idx="1">
                  <c:v>6.8611111111111109E-2</c:v>
                </c:pt>
                <c:pt idx="2">
                  <c:v>0.10388888888888889</c:v>
                </c:pt>
                <c:pt idx="3">
                  <c:v>2.0333333333333332E-2</c:v>
                </c:pt>
                <c:pt idx="4">
                  <c:v>1.8333333333333333E-2</c:v>
                </c:pt>
                <c:pt idx="5">
                  <c:v>4.3749999999999997E-2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0-41F0-B3AB-46A444F1C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819103"/>
        <c:axId val="653760751"/>
      </c:barChart>
      <c:catAx>
        <c:axId val="5681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60751"/>
        <c:crosses val="autoZero"/>
        <c:auto val="1"/>
        <c:lblAlgn val="ctr"/>
        <c:lblOffset val="100"/>
        <c:noMultiLvlLbl val="0"/>
      </c:catAx>
      <c:valAx>
        <c:axId val="65376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1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Budget vs Actual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DASHBOARD!$Q$12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DASHBOARD!$P$13:$P$24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DASHBOARD!$Q$13:$Q$24</c:f>
              <c:numCache>
                <c:formatCode>#,##0</c:formatCode>
                <c:ptCount val="12"/>
                <c:pt idx="0">
                  <c:v>1400000</c:v>
                </c:pt>
                <c:pt idx="1">
                  <c:v>1400000</c:v>
                </c:pt>
                <c:pt idx="2">
                  <c:v>1400000</c:v>
                </c:pt>
                <c:pt idx="3">
                  <c:v>1400000</c:v>
                </c:pt>
                <c:pt idx="4">
                  <c:v>1400000</c:v>
                </c:pt>
                <c:pt idx="5">
                  <c:v>1400000</c:v>
                </c:pt>
                <c:pt idx="6">
                  <c:v>1400000</c:v>
                </c:pt>
                <c:pt idx="7">
                  <c:v>1400000</c:v>
                </c:pt>
                <c:pt idx="8">
                  <c:v>1400000</c:v>
                </c:pt>
                <c:pt idx="9">
                  <c:v>1400000</c:v>
                </c:pt>
                <c:pt idx="10">
                  <c:v>1400000</c:v>
                </c:pt>
                <c:pt idx="11">
                  <c:v>1400000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D-4B0C-87FB-72C2ECD2D2F9}"/>
            </c:ext>
          </c:extLst>
        </c:ser>
        <c:ser>
          <c:idx val="1"/>
          <c:order val="1"/>
          <c:tx>
            <c:strRef>
              <c:f>DASHBOARD!$R$12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DASHBOARD!$P$13:$P$24</c:f>
              <c:numCache>
                <c:formatCode>mmm\-yy</c:formatCode>
                <c:ptCount val="12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</c:numCache>
            </c:numRef>
          </c:cat>
          <c:val>
            <c:numRef>
              <c:f>DASHBOARD!$R$13:$R$24</c:f>
              <c:numCache>
                <c:formatCode>General</c:formatCode>
                <c:ptCount val="12"/>
                <c:pt idx="0">
                  <c:v>1593000</c:v>
                </c:pt>
                <c:pt idx="1">
                  <c:v>1480000</c:v>
                </c:pt>
                <c:pt idx="2">
                  <c:v>1493000</c:v>
                </c:pt>
                <c:pt idx="3">
                  <c:v>1454000</c:v>
                </c:pt>
                <c:pt idx="4">
                  <c:v>1474000</c:v>
                </c:pt>
                <c:pt idx="5">
                  <c:v>1519000</c:v>
                </c:pt>
                <c:pt idx="6">
                  <c:v>1476000</c:v>
                </c:pt>
                <c:pt idx="7">
                  <c:v>1420000</c:v>
                </c:pt>
                <c:pt idx="8">
                  <c:v>1312000</c:v>
                </c:pt>
                <c:pt idx="9">
                  <c:v>1439000</c:v>
                </c:pt>
                <c:pt idx="10">
                  <c:v>1483000</c:v>
                </c:pt>
                <c:pt idx="11">
                  <c:v>1526000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0D-4B0C-87FB-72C2ECD2D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469519"/>
        <c:axId val="604469999"/>
      </c:lineChart>
      <c:dateAx>
        <c:axId val="60446951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69999"/>
        <c:crosses val="autoZero"/>
        <c:auto val="1"/>
        <c:lblOffset val="100"/>
        <c:baseTimeUnit val="months"/>
      </c:dateAx>
      <c:valAx>
        <c:axId val="60446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46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137840</xdr:colOff>
      <xdr:row>13</xdr:row>
      <xdr:rowOff>73293</xdr:rowOff>
    </xdr:from>
    <xdr:to>
      <xdr:col>5</xdr:col>
      <xdr:colOff>991220</xdr:colOff>
      <xdr:row>27</xdr:row>
      <xdr:rowOff>154878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7D3C3-B22F-EEE5-0EA4-9B52B7BBD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298733</xdr:colOff>
      <xdr:row>13</xdr:row>
      <xdr:rowOff>55217</xdr:rowOff>
    </xdr:from>
    <xdr:to>
      <xdr:col>12</xdr:col>
      <xdr:colOff>873125</xdr:colOff>
      <xdr:row>28</xdr:row>
      <xdr:rowOff>33371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F43525-DBBF-0A02-303B-B21573E26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1005416</xdr:colOff>
      <xdr:row>28</xdr:row>
      <xdr:rowOff>211666</xdr:rowOff>
    </xdr:from>
    <xdr:to>
      <xdr:col>12</xdr:col>
      <xdr:colOff>870185</xdr:colOff>
      <xdr:row>59</xdr:row>
      <xdr:rowOff>117593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9567DB-A297-2EF1-9496-47D6ABA751D8}"/>
            </a:ext>
          </a:extLst>
        </xdr:cNvPr>
        <xdr:cNvSpPr txBox="1"/>
      </xdr:nvSpPr>
      <xdr:spPr>
        <a:xfrm>
          <a:off x="7378935" y="7102592"/>
          <a:ext cx="4921250" cy="63029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KEY INSIGHTS — FY 2024–25</a:t>
          </a:r>
        </a:p>
        <a:p>
          <a:r>
            <a:rPr lang="en-IN" sz="1100"/>
            <a:t>NovaTech Solutions Pvt. Ltd.</a:t>
          </a:r>
        </a:p>
        <a:p>
          <a:endParaRPr lang="en-IN" sz="1100"/>
        </a:p>
        <a:p>
          <a:r>
            <a:rPr lang="en-IN" sz="1100"/>
            <a:t>1. HUMAN RESOURCES — Highest overspend at +10.4% over budget</a:t>
          </a:r>
        </a:p>
        <a:p>
          <a:r>
            <a:rPr lang="en-IN" sz="1100"/>
            <a:t>   (₹1,87,000 above plan). Driven by a mid-year campus</a:t>
          </a:r>
        </a:p>
        <a:p>
          <a:r>
            <a:rPr lang="en-IN" sz="1100"/>
            <a:t>   recruitment drive across 4 colleges in Aug–Nov. Agency</a:t>
          </a:r>
        </a:p>
        <a:p>
          <a:r>
            <a:rPr lang="en-IN" sz="1100"/>
            <a:t>   fees, assessments and induction events were the primary</a:t>
          </a:r>
        </a:p>
        <a:p>
          <a:r>
            <a:rPr lang="en-IN" sz="1100"/>
            <a:t>   cost drivers. Management approved this spend to meet</a:t>
          </a:r>
        </a:p>
        <a:p>
          <a:r>
            <a:rPr lang="en-IN" sz="1100"/>
            <a:t>   Q3 headcount targets.</a:t>
          </a:r>
        </a:p>
        <a:p>
          <a:endParaRPr lang="en-IN" sz="1100"/>
        </a:p>
        <a:p>
          <a:r>
            <a:rPr lang="en-IN" sz="1100"/>
            <a:t>2. TECHNOLOGY &amp; IT — +6.9% over budget (₹47,000 above plan).</a:t>
          </a:r>
        </a:p>
        <a:p>
          <a:r>
            <a:rPr lang="en-IN" sz="1100"/>
            <a:t>   Spike in Aug–Sep caused by platform migration — old and</a:t>
          </a:r>
        </a:p>
        <a:p>
          <a:r>
            <a:rPr lang="en-IN" sz="1100"/>
            <a:t>   new infrastructure ran simultaneously for 2 months.</a:t>
          </a:r>
        </a:p>
        <a:p>
          <a:r>
            <a:rPr lang="en-IN" sz="1100"/>
            <a:t>   Costs normalised below budget in Oct–Dec once migration</a:t>
          </a:r>
        </a:p>
        <a:p>
          <a:r>
            <a:rPr lang="en-IN" sz="1100"/>
            <a:t>   was completed and old servers decommissioned.</a:t>
          </a:r>
        </a:p>
        <a:p>
          <a:endParaRPr lang="en-IN" sz="1100"/>
        </a:p>
        <a:p>
          <a:r>
            <a:rPr lang="en-IN" sz="1100"/>
            <a:t>3. SALES &amp; MARKETING — +5.1% over budget (₹47,000 above</a:t>
          </a:r>
        </a:p>
        <a:p>
          <a:r>
            <a:rPr lang="en-IN" sz="1100"/>
            <a:t>   plan). Q1 overspend driven by two UAE enterprise client</a:t>
          </a:r>
        </a:p>
        <a:p>
          <a:r>
            <a:rPr lang="en-IN" sz="1100"/>
            <a:t>   pitches requiring travel, digital campaigns and</a:t>
          </a:r>
        </a:p>
        <a:p>
          <a:r>
            <a:rPr lang="en-IN" sz="1100"/>
            <a:t>   hospitality. Dec showed natural underspend due to</a:t>
          </a:r>
        </a:p>
        <a:p>
          <a:r>
            <a:rPr lang="en-IN" sz="1100"/>
            <a:t>   holiday slowdown. Q4 spend increased for year-end</a:t>
          </a:r>
        </a:p>
        <a:p>
          <a:r>
            <a:rPr lang="en-IN" sz="1100"/>
            <a:t>   contract renewals.</a:t>
          </a:r>
        </a:p>
        <a:p>
          <a:endParaRPr lang="en-IN" sz="1100"/>
        </a:p>
        <a:p>
          <a:r>
            <a:rPr lang="en-IN" sz="1100"/>
            <a:t>4. FINANCE &amp; ADMIN — Strongest cost discipline at only +1.8%</a:t>
          </a:r>
        </a:p>
        <a:p>
          <a:r>
            <a:rPr lang="en-IN" sz="1100"/>
            <a:t>   over budget. Reflects tight financial controls and a</a:t>
          </a:r>
        </a:p>
        <a:p>
          <a:r>
            <a:rPr lang="en-IN" sz="1100"/>
            <a:t>   renegotiated office supply contract in H1.</a:t>
          </a:r>
        </a:p>
        <a:p>
          <a:endParaRPr lang="en-IN" sz="1100"/>
        </a:p>
        <a:p>
          <a:r>
            <a:rPr lang="en-IN" sz="1100"/>
            <a:t>5. OPERATIONS &amp; R&amp;D — Both ON TRACK. Operations maintained</a:t>
          </a:r>
        </a:p>
        <a:p>
          <a:r>
            <a:rPr lang="en-IN" sz="1100"/>
            <a:t>   budget despite unplanned HVAC repair in Sep. R&amp;D slight</a:t>
          </a:r>
        </a:p>
        <a:p>
          <a:r>
            <a:rPr lang="en-IN" sz="1100"/>
            <a:t>   overspend driven by AI prototype development — a</a:t>
          </a:r>
        </a:p>
        <a:p>
          <a:r>
            <a:rPr lang="en-IN" sz="1100"/>
            <a:t>   positive investment signal.</a:t>
          </a:r>
        </a:p>
        <a:p>
          <a:endParaRPr lang="en-IN" sz="1100"/>
        </a:p>
        <a:p>
          <a:r>
            <a:rPr lang="en-IN" sz="1100"/>
            <a:t>OVERALL: Company is +5.2% above budget. Overruns are</a:t>
          </a:r>
        </a:p>
        <a:p>
          <a:r>
            <a:rPr lang="en-IN" sz="1100"/>
            <a:t>growth-driven — UAE contracts won, platform upgraded,</a:t>
          </a:r>
        </a:p>
        <a:p>
          <a:r>
            <a:rPr lang="en-IN" sz="1100"/>
            <a:t>new hires onboarded. Recommendation: Add 10% contingency</a:t>
          </a:r>
        </a:p>
        <a:p>
          <a:r>
            <a:rPr lang="en-IN" sz="1100"/>
            <a:t>to HR and IT budgets for FY 2025–26.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E9B0F0-CB82-40C5-AF19-A0DE8C028DE1}" name="ActualData" displayName="ActualData" ref="A3:E75" totalsRowShown="0" headerRowDxfId="45" headerRowBorderDxfId="44">
  <tableColumns count="5">
    <tableColumn id="1" xr3:uid="{2CA40F6B-9FD3-4A21-B42E-F84041D0CA4D}" name="No." dataDxfId="43"/>
    <tableColumn id="2" xr3:uid="{E42F2FB6-A666-4709-9BDB-A544DC132B7D}" name="Month" dataDxfId="42"/>
    <tableColumn id="3" xr3:uid="{A4C3AB03-DBE3-4D61-A16B-9A67D243D4A1}" name="Department" dataDxfId="41"/>
    <tableColumn id="4" xr3:uid="{59FCC322-0C21-42DD-B6C1-453B788FD9FA}" name="Actual Spend (₹)" dataDxfId="40"/>
    <tableColumn id="6" xr3:uid="{E787B3D7-6EF6-4F19-B0E1-35502B223398}" name="Notes / Remarks" dataDxfId="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4E8C-09FB-4399-99F3-6D9C0B3B6E23}">
  <sheetPr>
    <tabColor rgb="FF002060"/>
  </sheetPr>
  <dimension ref="A1:H21"/>
  <sheetViews>
    <sheetView showGridLines="0" topLeftCell="A5" zoomScale="99" zoomScaleNormal="53" zoomScalePageLayoutView="40" workbookViewId="0">
      <selection activeCell="L17" sqref="L17"/>
    </sheetView>
  </sheetViews>
  <sheetFormatPr defaultRowHeight="14.5" x14ac:dyDescent="0.35"/>
  <cols>
    <col min="1" max="1" width="20.6328125" customWidth="1"/>
    <col min="2" max="2" width="45.6328125" customWidth="1"/>
  </cols>
  <sheetData>
    <row r="1" spans="1:8" ht="50" customHeight="1" x14ac:dyDescent="0.35">
      <c r="A1" s="48" t="s">
        <v>0</v>
      </c>
      <c r="B1" s="48"/>
      <c r="C1" s="48"/>
      <c r="D1" s="48"/>
      <c r="E1" s="48"/>
      <c r="F1" s="48"/>
      <c r="G1" s="48"/>
      <c r="H1" s="48"/>
    </row>
    <row r="2" spans="1:8" ht="30" customHeight="1" x14ac:dyDescent="0.35">
      <c r="A2" s="49" t="s">
        <v>1</v>
      </c>
      <c r="B2" s="49"/>
      <c r="C2" s="49"/>
      <c r="D2" s="49"/>
      <c r="E2" s="49"/>
      <c r="F2" s="49"/>
      <c r="G2" s="49"/>
      <c r="H2" s="49"/>
    </row>
    <row r="4" spans="1:8" ht="17.5" x14ac:dyDescent="0.35">
      <c r="A4" s="2" t="s">
        <v>2</v>
      </c>
      <c r="B4" s="1"/>
    </row>
    <row r="5" spans="1:8" x14ac:dyDescent="0.35">
      <c r="A5" s="4" t="s">
        <v>3</v>
      </c>
      <c r="B5" s="5" t="s">
        <v>8</v>
      </c>
    </row>
    <row r="6" spans="1:8" x14ac:dyDescent="0.35">
      <c r="A6" s="4" t="s">
        <v>4</v>
      </c>
      <c r="B6" s="5" t="s">
        <v>9</v>
      </c>
    </row>
    <row r="7" spans="1:8" x14ac:dyDescent="0.35">
      <c r="A7" s="4" t="s">
        <v>5</v>
      </c>
      <c r="B7" s="5" t="s">
        <v>10</v>
      </c>
    </row>
    <row r="8" spans="1:8" x14ac:dyDescent="0.35">
      <c r="A8" s="4" t="s">
        <v>6</v>
      </c>
      <c r="B8" s="5" t="s">
        <v>11</v>
      </c>
    </row>
    <row r="9" spans="1:8" x14ac:dyDescent="0.35">
      <c r="A9" s="4" t="s">
        <v>7</v>
      </c>
      <c r="B9" s="5" t="s">
        <v>12</v>
      </c>
    </row>
    <row r="10" spans="1:8" x14ac:dyDescent="0.35">
      <c r="A10" s="4" t="s">
        <v>13</v>
      </c>
      <c r="B10" s="5" t="s">
        <v>14</v>
      </c>
    </row>
    <row r="11" spans="1:8" x14ac:dyDescent="0.35">
      <c r="A11" s="4" t="s">
        <v>15</v>
      </c>
      <c r="B11" s="5" t="s">
        <v>16</v>
      </c>
    </row>
    <row r="12" spans="1:8" x14ac:dyDescent="0.35">
      <c r="A12" s="4" t="s">
        <v>17</v>
      </c>
      <c r="B12" s="5" t="s">
        <v>18</v>
      </c>
    </row>
    <row r="14" spans="1:8" x14ac:dyDescent="0.35">
      <c r="A14" s="2" t="s">
        <v>19</v>
      </c>
      <c r="B14" s="2"/>
    </row>
    <row r="15" spans="1:8" x14ac:dyDescent="0.35">
      <c r="A15" s="6" t="s">
        <v>23</v>
      </c>
    </row>
    <row r="16" spans="1:8" ht="17.5" x14ac:dyDescent="0.35">
      <c r="A16" s="7" t="s">
        <v>22</v>
      </c>
      <c r="C16" s="3"/>
      <c r="D16" s="3"/>
      <c r="E16" s="3"/>
    </row>
    <row r="17" spans="1:8" x14ac:dyDescent="0.35">
      <c r="A17" s="7" t="s">
        <v>24</v>
      </c>
      <c r="C17" s="3"/>
      <c r="D17" s="3"/>
      <c r="E17" s="3"/>
    </row>
    <row r="18" spans="1:8" x14ac:dyDescent="0.35">
      <c r="A18" s="8" t="s">
        <v>25</v>
      </c>
      <c r="C18" s="3"/>
      <c r="D18" s="3"/>
      <c r="E18" s="3"/>
    </row>
    <row r="19" spans="1:8" x14ac:dyDescent="0.35">
      <c r="A19" s="9" t="s">
        <v>20</v>
      </c>
      <c r="B19" s="9"/>
      <c r="C19" s="3"/>
      <c r="D19" s="3"/>
    </row>
    <row r="20" spans="1:8" ht="15" customHeight="1" x14ac:dyDescent="0.35"/>
    <row r="21" spans="1:8" ht="41.5" customHeight="1" x14ac:dyDescent="0.35">
      <c r="A21" s="50" t="s">
        <v>21</v>
      </c>
      <c r="B21" s="51"/>
      <c r="C21" s="51"/>
      <c r="D21" s="51"/>
      <c r="E21" s="51"/>
      <c r="F21" s="51"/>
      <c r="G21" s="51"/>
      <c r="H21" s="52"/>
    </row>
  </sheetData>
  <mergeCells count="3">
    <mergeCell ref="A1:H1"/>
    <mergeCell ref="A2:H2"/>
    <mergeCell ref="A21:H21"/>
  </mergeCells>
  <pageMargins left="0.25" right="0.25" top="0.75" bottom="0.75" header="0.3" footer="0.3"/>
  <pageSetup scale="94" orientation="landscape" r:id="rId1"/>
  <rowBreaks count="1" manualBreakCount="1">
    <brk id="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CF0F-C559-4C7A-9285-EA669A74ECA5}">
  <sheetPr>
    <tabColor theme="5"/>
  </sheetPr>
  <dimension ref="A1:O13"/>
  <sheetViews>
    <sheetView showGridLines="0" zoomScale="92" zoomScaleNormal="64" zoomScalePageLayoutView="77" workbookViewId="0">
      <pane xSplit="1" topLeftCell="B1" activePane="topRight" state="frozen"/>
      <selection pane="topRight" activeCell="A13" sqref="A13:O13"/>
    </sheetView>
  </sheetViews>
  <sheetFormatPr defaultRowHeight="14.5" x14ac:dyDescent="0.35"/>
  <cols>
    <col min="1" max="1" width="28.6328125" customWidth="1"/>
    <col min="2" max="2" width="16.6328125" customWidth="1"/>
    <col min="3" max="14" width="11.6328125" customWidth="1"/>
    <col min="15" max="15" width="14.6328125" customWidth="1"/>
  </cols>
  <sheetData>
    <row r="1" spans="1:15" ht="35" customHeight="1" x14ac:dyDescent="0.5">
      <c r="A1" s="53" t="s">
        <v>26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3" spans="1:15" x14ac:dyDescent="0.35">
      <c r="A3" s="10" t="s">
        <v>27</v>
      </c>
      <c r="B3" s="11" t="s">
        <v>29</v>
      </c>
      <c r="C3" s="12">
        <v>45383</v>
      </c>
      <c r="D3" s="12">
        <v>45413</v>
      </c>
      <c r="E3" s="12">
        <v>45444</v>
      </c>
      <c r="F3" s="12">
        <v>45474</v>
      </c>
      <c r="G3" s="12">
        <v>45505</v>
      </c>
      <c r="H3" s="12">
        <v>45536</v>
      </c>
      <c r="I3" s="12">
        <v>45566</v>
      </c>
      <c r="J3" s="12">
        <v>45597</v>
      </c>
      <c r="K3" s="12">
        <v>45627</v>
      </c>
      <c r="L3" s="12">
        <v>45658</v>
      </c>
      <c r="M3" s="12">
        <v>45689</v>
      </c>
      <c r="N3" s="12">
        <v>45717</v>
      </c>
      <c r="O3" s="11" t="s">
        <v>28</v>
      </c>
    </row>
    <row r="4" spans="1:15" x14ac:dyDescent="0.35">
      <c r="A4" s="13" t="s">
        <v>37</v>
      </c>
      <c r="B4" s="14">
        <v>4800000</v>
      </c>
      <c r="C4" s="15">
        <f>B4/12</f>
        <v>400000</v>
      </c>
      <c r="D4" s="15">
        <v>400000</v>
      </c>
      <c r="E4" s="15">
        <v>400000</v>
      </c>
      <c r="F4" s="15">
        <v>400000</v>
      </c>
      <c r="G4" s="15">
        <v>400000</v>
      </c>
      <c r="H4" s="15">
        <v>400000</v>
      </c>
      <c r="I4" s="15">
        <v>400000</v>
      </c>
      <c r="J4" s="15">
        <v>400000</v>
      </c>
      <c r="K4" s="15">
        <v>400000</v>
      </c>
      <c r="L4" s="15">
        <v>400000</v>
      </c>
      <c r="M4" s="15">
        <v>400000</v>
      </c>
      <c r="N4" s="15">
        <v>400000</v>
      </c>
      <c r="O4" s="16">
        <f>SUM(C4:N4)</f>
        <v>4800000</v>
      </c>
    </row>
    <row r="5" spans="1:15" x14ac:dyDescent="0.35">
      <c r="A5" s="13" t="s">
        <v>33</v>
      </c>
      <c r="B5" s="14">
        <v>3600000</v>
      </c>
      <c r="C5" s="15">
        <f t="shared" ref="C5:C9" si="0">B5/12</f>
        <v>300000</v>
      </c>
      <c r="D5" s="15">
        <v>300000</v>
      </c>
      <c r="E5" s="15">
        <v>300000</v>
      </c>
      <c r="F5" s="15">
        <v>300000</v>
      </c>
      <c r="G5" s="15">
        <v>300000</v>
      </c>
      <c r="H5" s="15">
        <v>300000</v>
      </c>
      <c r="I5" s="15">
        <v>300000</v>
      </c>
      <c r="J5" s="15">
        <v>300000</v>
      </c>
      <c r="K5" s="15">
        <v>300000</v>
      </c>
      <c r="L5" s="15">
        <v>300000</v>
      </c>
      <c r="M5" s="15">
        <v>300000</v>
      </c>
      <c r="N5" s="15">
        <v>300000</v>
      </c>
      <c r="O5" s="16">
        <f t="shared" ref="O5" si="1">SUM(C5:N5)</f>
        <v>3600000</v>
      </c>
    </row>
    <row r="6" spans="1:15" x14ac:dyDescent="0.35">
      <c r="A6" s="13" t="s">
        <v>30</v>
      </c>
      <c r="B6" s="14">
        <v>1800000</v>
      </c>
      <c r="C6" s="15">
        <f t="shared" si="0"/>
        <v>150000</v>
      </c>
      <c r="D6" s="15">
        <v>150000</v>
      </c>
      <c r="E6" s="15">
        <v>150000</v>
      </c>
      <c r="F6" s="15">
        <v>150000</v>
      </c>
      <c r="G6" s="15">
        <v>150000</v>
      </c>
      <c r="H6" s="15">
        <v>150000</v>
      </c>
      <c r="I6" s="15">
        <v>150000</v>
      </c>
      <c r="J6" s="15">
        <v>150000</v>
      </c>
      <c r="K6" s="15">
        <v>150000</v>
      </c>
      <c r="L6" s="15">
        <v>150000</v>
      </c>
      <c r="M6" s="15">
        <v>150000</v>
      </c>
      <c r="N6" s="15">
        <v>150000</v>
      </c>
      <c r="O6" s="16">
        <f>SUM(C6:N6)</f>
        <v>1800000</v>
      </c>
    </row>
    <row r="7" spans="1:15" x14ac:dyDescent="0.35">
      <c r="A7" s="13" t="s">
        <v>31</v>
      </c>
      <c r="B7" s="14">
        <v>3000000</v>
      </c>
      <c r="C7" s="15">
        <f t="shared" si="0"/>
        <v>250000</v>
      </c>
      <c r="D7" s="15">
        <v>250000</v>
      </c>
      <c r="E7" s="15">
        <v>250000</v>
      </c>
      <c r="F7" s="15">
        <v>250000</v>
      </c>
      <c r="G7" s="15">
        <v>250000</v>
      </c>
      <c r="H7" s="15">
        <v>250000</v>
      </c>
      <c r="I7" s="15">
        <v>250000</v>
      </c>
      <c r="J7" s="15">
        <v>250000</v>
      </c>
      <c r="K7" s="15">
        <v>250000</v>
      </c>
      <c r="L7" s="15">
        <v>250000</v>
      </c>
      <c r="M7" s="15">
        <v>250000</v>
      </c>
      <c r="N7" s="15">
        <v>250000</v>
      </c>
      <c r="O7" s="16">
        <f>SUM(C7:N7)</f>
        <v>3000000</v>
      </c>
    </row>
    <row r="8" spans="1:15" x14ac:dyDescent="0.35">
      <c r="A8" s="13" t="s">
        <v>34</v>
      </c>
      <c r="B8" s="14">
        <v>1200000</v>
      </c>
      <c r="C8" s="15">
        <f t="shared" si="0"/>
        <v>100000</v>
      </c>
      <c r="D8" s="15">
        <v>100000</v>
      </c>
      <c r="E8" s="15">
        <v>100000</v>
      </c>
      <c r="F8" s="15">
        <v>100000</v>
      </c>
      <c r="G8" s="15">
        <v>100000</v>
      </c>
      <c r="H8" s="15">
        <v>100000</v>
      </c>
      <c r="I8" s="15">
        <v>100000</v>
      </c>
      <c r="J8" s="15">
        <v>100000</v>
      </c>
      <c r="K8" s="15">
        <v>100000</v>
      </c>
      <c r="L8" s="15">
        <v>100000</v>
      </c>
      <c r="M8" s="15">
        <v>100000</v>
      </c>
      <c r="N8" s="15">
        <v>100000</v>
      </c>
      <c r="O8" s="16">
        <f>SUM(C8:N8)</f>
        <v>1200000</v>
      </c>
    </row>
    <row r="9" spans="1:15" x14ac:dyDescent="0.35">
      <c r="A9" s="13" t="s">
        <v>35</v>
      </c>
      <c r="B9" s="14">
        <v>2400000</v>
      </c>
      <c r="C9" s="15">
        <f t="shared" si="0"/>
        <v>200000</v>
      </c>
      <c r="D9" s="15">
        <v>200000</v>
      </c>
      <c r="E9" s="15">
        <v>200000</v>
      </c>
      <c r="F9" s="15">
        <v>200000</v>
      </c>
      <c r="G9" s="15">
        <v>200000</v>
      </c>
      <c r="H9" s="15">
        <v>200000</v>
      </c>
      <c r="I9" s="15">
        <v>200000</v>
      </c>
      <c r="J9" s="15">
        <v>200000</v>
      </c>
      <c r="K9" s="15">
        <v>200000</v>
      </c>
      <c r="L9" s="15">
        <v>200000</v>
      </c>
      <c r="M9" s="15">
        <v>200000</v>
      </c>
      <c r="N9" s="15">
        <v>200000</v>
      </c>
      <c r="O9" s="16">
        <f>SUM(C9:N9)</f>
        <v>2400000</v>
      </c>
    </row>
    <row r="11" spans="1:15" x14ac:dyDescent="0.35">
      <c r="A11" s="17" t="s">
        <v>32</v>
      </c>
      <c r="B11" s="18">
        <f>SUM(B4:B9)</f>
        <v>16800000</v>
      </c>
      <c r="C11" s="18">
        <f>SUM(C4:C9)</f>
        <v>1400000</v>
      </c>
      <c r="D11" s="18">
        <f>SUM(D4:D9)</f>
        <v>1400000</v>
      </c>
      <c r="E11" s="18">
        <f t="shared" ref="E11:N11" si="2">SUM(E4:E9)</f>
        <v>1400000</v>
      </c>
      <c r="F11" s="18">
        <f t="shared" si="2"/>
        <v>1400000</v>
      </c>
      <c r="G11" s="18">
        <f t="shared" si="2"/>
        <v>1400000</v>
      </c>
      <c r="H11" s="18">
        <f t="shared" si="2"/>
        <v>1400000</v>
      </c>
      <c r="I11" s="18">
        <f t="shared" si="2"/>
        <v>1400000</v>
      </c>
      <c r="J11" s="18">
        <f t="shared" si="2"/>
        <v>1400000</v>
      </c>
      <c r="K11" s="18">
        <f t="shared" si="2"/>
        <v>1400000</v>
      </c>
      <c r="L11" s="18">
        <f t="shared" si="2"/>
        <v>1400000</v>
      </c>
      <c r="M11" s="18">
        <f t="shared" si="2"/>
        <v>1400000</v>
      </c>
      <c r="N11" s="18">
        <f t="shared" si="2"/>
        <v>1400000</v>
      </c>
      <c r="O11" s="18">
        <f>SUM(O4:O9)</f>
        <v>16800000</v>
      </c>
    </row>
    <row r="13" spans="1:15" x14ac:dyDescent="0.35">
      <c r="A13" s="54" t="s">
        <v>36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</row>
  </sheetData>
  <mergeCells count="2">
    <mergeCell ref="A1:O1"/>
    <mergeCell ref="A13:O13"/>
  </mergeCells>
  <printOptions horizontalCentered="1"/>
  <pageMargins left="0.23622047244094491" right="0.23622047244094491" top="0.74803149606299213" bottom="0.74803149606299213" header="0.31496062992125984" footer="0.31496062992125984"/>
  <pageSetup scale="93" orientation="landscape" r:id="rId1"/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2BF4-0B98-45C6-8F2E-A5D70C4DC4B3}">
  <sheetPr>
    <tabColor rgb="FF00B0F0"/>
  </sheetPr>
  <dimension ref="A1:F78"/>
  <sheetViews>
    <sheetView showGridLines="0" zoomScale="47" zoomScaleNormal="51" workbookViewId="0">
      <pane ySplit="3" topLeftCell="A4" activePane="bottomLeft" state="frozen"/>
      <selection pane="bottomLeft" activeCell="E86" sqref="E86"/>
    </sheetView>
  </sheetViews>
  <sheetFormatPr defaultRowHeight="14.5" x14ac:dyDescent="0.35"/>
  <cols>
    <col min="1" max="1" width="8.7265625" customWidth="1"/>
    <col min="2" max="2" width="10.6328125" customWidth="1"/>
    <col min="3" max="3" width="24.6328125" customWidth="1"/>
    <col min="4" max="4" width="16.90625" customWidth="1"/>
    <col min="5" max="5" width="62.453125" customWidth="1"/>
  </cols>
  <sheetData>
    <row r="1" spans="1:5" ht="18.5" x14ac:dyDescent="0.45">
      <c r="A1" s="55" t="s">
        <v>38</v>
      </c>
      <c r="B1" s="55"/>
      <c r="C1" s="55"/>
      <c r="D1" s="55"/>
      <c r="E1" s="55"/>
    </row>
    <row r="2" spans="1:5" ht="20" customHeight="1" x14ac:dyDescent="0.35">
      <c r="A2" s="56" t="s">
        <v>39</v>
      </c>
      <c r="B2" s="56"/>
      <c r="C2" s="56"/>
      <c r="D2" s="56"/>
      <c r="E2" s="56"/>
    </row>
    <row r="3" spans="1:5" ht="25" customHeight="1" x14ac:dyDescent="0.35">
      <c r="A3" s="19" t="s">
        <v>40</v>
      </c>
      <c r="B3" s="19" t="s">
        <v>41</v>
      </c>
      <c r="C3" s="19" t="s">
        <v>42</v>
      </c>
      <c r="D3" s="19" t="s">
        <v>44</v>
      </c>
      <c r="E3" s="19" t="s">
        <v>43</v>
      </c>
    </row>
    <row r="4" spans="1:5" x14ac:dyDescent="0.35">
      <c r="A4" s="20">
        <v>1</v>
      </c>
      <c r="B4" s="24">
        <v>45383</v>
      </c>
      <c r="C4" s="21" t="s">
        <v>37</v>
      </c>
      <c r="D4" s="22">
        <v>438000</v>
      </c>
      <c r="E4" s="23" t="s">
        <v>45</v>
      </c>
    </row>
    <row r="5" spans="1:5" x14ac:dyDescent="0.35">
      <c r="A5" s="20">
        <v>2</v>
      </c>
      <c r="B5" s="24">
        <v>45383</v>
      </c>
      <c r="C5" s="21" t="s">
        <v>33</v>
      </c>
      <c r="D5" s="22">
        <v>291000</v>
      </c>
      <c r="E5" s="23" t="s">
        <v>46</v>
      </c>
    </row>
    <row r="6" spans="1:5" x14ac:dyDescent="0.35">
      <c r="A6" s="20">
        <v>3</v>
      </c>
      <c r="B6" s="24">
        <v>45383</v>
      </c>
      <c r="C6" s="21" t="s">
        <v>30</v>
      </c>
      <c r="D6" s="22">
        <v>152000</v>
      </c>
      <c r="E6" s="23" t="s">
        <v>47</v>
      </c>
    </row>
    <row r="7" spans="1:5" x14ac:dyDescent="0.35">
      <c r="A7" s="20">
        <v>4</v>
      </c>
      <c r="B7" s="24">
        <v>45383</v>
      </c>
      <c r="C7" s="21" t="s">
        <v>31</v>
      </c>
      <c r="D7" s="22">
        <v>263000</v>
      </c>
      <c r="E7" s="25" t="s">
        <v>48</v>
      </c>
    </row>
    <row r="8" spans="1:5" x14ac:dyDescent="0.35">
      <c r="A8" s="20">
        <v>5</v>
      </c>
      <c r="B8" s="24">
        <v>45383</v>
      </c>
      <c r="C8" s="21" t="s">
        <v>34</v>
      </c>
      <c r="D8" s="22">
        <v>97000</v>
      </c>
      <c r="E8" s="26" t="s">
        <v>49</v>
      </c>
    </row>
    <row r="9" spans="1:5" x14ac:dyDescent="0.35">
      <c r="A9" s="20">
        <v>6</v>
      </c>
      <c r="B9" s="24">
        <v>45383</v>
      </c>
      <c r="C9" s="21" t="s">
        <v>35</v>
      </c>
      <c r="D9" s="22">
        <v>205000</v>
      </c>
      <c r="E9" s="26" t="s">
        <v>50</v>
      </c>
    </row>
    <row r="10" spans="1:5" x14ac:dyDescent="0.35">
      <c r="A10" s="20">
        <v>7</v>
      </c>
      <c r="B10" s="24">
        <v>45413</v>
      </c>
      <c r="C10" s="21" t="s">
        <v>37</v>
      </c>
      <c r="D10" s="22">
        <v>471000</v>
      </c>
      <c r="E10" s="26" t="s">
        <v>50</v>
      </c>
    </row>
    <row r="11" spans="1:5" x14ac:dyDescent="0.35">
      <c r="A11" s="20">
        <v>8</v>
      </c>
      <c r="B11" s="24">
        <v>45413</v>
      </c>
      <c r="C11" s="21" t="s">
        <v>33</v>
      </c>
      <c r="D11" s="22">
        <v>318000</v>
      </c>
      <c r="E11" s="26" t="s">
        <v>50</v>
      </c>
    </row>
    <row r="12" spans="1:5" x14ac:dyDescent="0.35">
      <c r="A12" s="20">
        <v>9</v>
      </c>
      <c r="B12" s="24">
        <v>45413</v>
      </c>
      <c r="C12" s="21" t="s">
        <v>30</v>
      </c>
      <c r="D12" s="22">
        <v>147000</v>
      </c>
      <c r="E12" s="26" t="s">
        <v>51</v>
      </c>
    </row>
    <row r="13" spans="1:5" x14ac:dyDescent="0.35">
      <c r="A13" s="20">
        <v>10</v>
      </c>
      <c r="B13" s="24">
        <v>45413</v>
      </c>
      <c r="C13" s="21" t="s">
        <v>31</v>
      </c>
      <c r="D13" s="22">
        <v>244000</v>
      </c>
      <c r="E13" s="26" t="s">
        <v>52</v>
      </c>
    </row>
    <row r="14" spans="1:5" x14ac:dyDescent="0.35">
      <c r="A14" s="20">
        <v>11</v>
      </c>
      <c r="B14" s="24">
        <v>45413</v>
      </c>
      <c r="C14" s="21" t="s">
        <v>34</v>
      </c>
      <c r="D14" s="22">
        <v>104000</v>
      </c>
      <c r="E14" s="26" t="s">
        <v>53</v>
      </c>
    </row>
    <row r="15" spans="1:5" x14ac:dyDescent="0.35">
      <c r="A15" s="20">
        <v>12</v>
      </c>
      <c r="B15" s="24">
        <v>45413</v>
      </c>
      <c r="C15" s="21" t="s">
        <v>35</v>
      </c>
      <c r="D15" s="22">
        <v>196000</v>
      </c>
      <c r="E15" s="26" t="s">
        <v>54</v>
      </c>
    </row>
    <row r="16" spans="1:5" x14ac:dyDescent="0.35">
      <c r="A16" s="20">
        <v>13</v>
      </c>
      <c r="B16" s="24">
        <v>45444</v>
      </c>
      <c r="C16" s="21" t="s">
        <v>37</v>
      </c>
      <c r="D16" s="22">
        <v>485000</v>
      </c>
      <c r="E16" s="26" t="s">
        <v>55</v>
      </c>
    </row>
    <row r="17" spans="1:5" x14ac:dyDescent="0.35">
      <c r="A17" s="20">
        <v>14</v>
      </c>
      <c r="B17" s="24">
        <v>45444</v>
      </c>
      <c r="C17" s="21" t="s">
        <v>33</v>
      </c>
      <c r="D17" s="22">
        <v>288000</v>
      </c>
      <c r="E17" s="26" t="s">
        <v>56</v>
      </c>
    </row>
    <row r="18" spans="1:5" x14ac:dyDescent="0.35">
      <c r="A18" s="20">
        <v>15</v>
      </c>
      <c r="B18" s="24">
        <v>45444</v>
      </c>
      <c r="C18" s="21" t="s">
        <v>30</v>
      </c>
      <c r="D18" s="22">
        <v>153000</v>
      </c>
      <c r="E18" s="26" t="s">
        <v>57</v>
      </c>
    </row>
    <row r="19" spans="1:5" x14ac:dyDescent="0.35">
      <c r="A19" s="20">
        <v>16</v>
      </c>
      <c r="B19" s="24">
        <v>45444</v>
      </c>
      <c r="C19" s="21" t="s">
        <v>31</v>
      </c>
      <c r="D19" s="22">
        <v>258000</v>
      </c>
      <c r="E19" s="26" t="s">
        <v>58</v>
      </c>
    </row>
    <row r="20" spans="1:5" x14ac:dyDescent="0.35">
      <c r="A20" s="20">
        <v>17</v>
      </c>
      <c r="B20" s="24">
        <v>45444</v>
      </c>
      <c r="C20" s="21" t="s">
        <v>34</v>
      </c>
      <c r="D20" s="22">
        <v>98000</v>
      </c>
      <c r="E20" s="26" t="s">
        <v>59</v>
      </c>
    </row>
    <row r="21" spans="1:5" x14ac:dyDescent="0.35">
      <c r="A21" s="20">
        <v>18</v>
      </c>
      <c r="B21" s="24">
        <v>45444</v>
      </c>
      <c r="C21" s="21" t="s">
        <v>35</v>
      </c>
      <c r="D21" s="22">
        <v>211000</v>
      </c>
      <c r="E21" s="26" t="s">
        <v>60</v>
      </c>
    </row>
    <row r="22" spans="1:5" x14ac:dyDescent="0.35">
      <c r="A22" s="20">
        <v>19</v>
      </c>
      <c r="B22" s="24">
        <v>45474</v>
      </c>
      <c r="C22" s="21" t="s">
        <v>37</v>
      </c>
      <c r="D22" s="22">
        <v>392000</v>
      </c>
      <c r="E22" s="26" t="s">
        <v>61</v>
      </c>
    </row>
    <row r="23" spans="1:5" x14ac:dyDescent="0.35">
      <c r="A23" s="20">
        <v>20</v>
      </c>
      <c r="B23" s="24">
        <v>45474</v>
      </c>
      <c r="C23" s="21" t="s">
        <v>33</v>
      </c>
      <c r="D23" s="22">
        <v>342000</v>
      </c>
      <c r="E23" s="26" t="s">
        <v>62</v>
      </c>
    </row>
    <row r="24" spans="1:5" x14ac:dyDescent="0.35">
      <c r="A24" s="20">
        <v>21</v>
      </c>
      <c r="B24" s="24">
        <v>45474</v>
      </c>
      <c r="C24" s="21" t="s">
        <v>30</v>
      </c>
      <c r="D24" s="22">
        <v>149000</v>
      </c>
      <c r="E24" s="23" t="s">
        <v>63</v>
      </c>
    </row>
    <row r="25" spans="1:5" x14ac:dyDescent="0.35">
      <c r="A25" s="20">
        <v>22</v>
      </c>
      <c r="B25" s="24">
        <v>45474</v>
      </c>
      <c r="C25" s="21" t="s">
        <v>31</v>
      </c>
      <c r="D25" s="22">
        <v>247000</v>
      </c>
      <c r="E25" s="26" t="s">
        <v>64</v>
      </c>
    </row>
    <row r="26" spans="1:5" x14ac:dyDescent="0.35">
      <c r="A26" s="20">
        <v>23</v>
      </c>
      <c r="B26" s="24">
        <v>45474</v>
      </c>
      <c r="C26" s="21" t="s">
        <v>34</v>
      </c>
      <c r="D26" s="22">
        <v>101000</v>
      </c>
      <c r="E26" s="26" t="s">
        <v>65</v>
      </c>
    </row>
    <row r="27" spans="1:5" x14ac:dyDescent="0.35">
      <c r="A27" s="20">
        <v>24</v>
      </c>
      <c r="B27" s="24">
        <v>45474</v>
      </c>
      <c r="C27" s="21" t="s">
        <v>35</v>
      </c>
      <c r="D27" s="22">
        <v>223000</v>
      </c>
      <c r="E27" s="26" t="s">
        <v>66</v>
      </c>
    </row>
    <row r="28" spans="1:5" x14ac:dyDescent="0.35">
      <c r="A28" s="20">
        <v>25</v>
      </c>
      <c r="B28" s="24">
        <v>45505</v>
      </c>
      <c r="C28" s="21" t="s">
        <v>37</v>
      </c>
      <c r="D28" s="22">
        <v>388000</v>
      </c>
      <c r="E28" s="26" t="s">
        <v>67</v>
      </c>
    </row>
    <row r="29" spans="1:5" x14ac:dyDescent="0.35">
      <c r="A29" s="20">
        <v>26</v>
      </c>
      <c r="B29" s="24">
        <v>45505</v>
      </c>
      <c r="C29" s="21" t="s">
        <v>33</v>
      </c>
      <c r="D29" s="22">
        <v>356000</v>
      </c>
      <c r="E29" s="26" t="s">
        <v>68</v>
      </c>
    </row>
    <row r="30" spans="1:5" x14ac:dyDescent="0.35">
      <c r="A30" s="20">
        <v>27</v>
      </c>
      <c r="B30" s="24">
        <v>45505</v>
      </c>
      <c r="C30" s="21" t="s">
        <v>30</v>
      </c>
      <c r="D30" s="22">
        <v>174000</v>
      </c>
      <c r="E30" s="26" t="s">
        <v>69</v>
      </c>
    </row>
    <row r="31" spans="1:5" x14ac:dyDescent="0.35">
      <c r="A31" s="20">
        <v>28</v>
      </c>
      <c r="B31" s="24">
        <v>45505</v>
      </c>
      <c r="C31" s="21" t="s">
        <v>31</v>
      </c>
      <c r="D31" s="22">
        <v>252000</v>
      </c>
      <c r="E31" s="26" t="s">
        <v>70</v>
      </c>
    </row>
    <row r="32" spans="1:5" x14ac:dyDescent="0.35">
      <c r="A32" s="20">
        <v>29</v>
      </c>
      <c r="B32" s="24">
        <v>45505</v>
      </c>
      <c r="C32" s="21" t="s">
        <v>34</v>
      </c>
      <c r="D32" s="22">
        <v>96000</v>
      </c>
      <c r="E32" s="26" t="s">
        <v>71</v>
      </c>
    </row>
    <row r="33" spans="1:6" x14ac:dyDescent="0.35">
      <c r="A33" s="20">
        <v>30</v>
      </c>
      <c r="B33" s="24">
        <v>45505</v>
      </c>
      <c r="C33" s="21" t="s">
        <v>35</v>
      </c>
      <c r="D33" s="22">
        <v>208000</v>
      </c>
      <c r="E33" s="26" t="s">
        <v>72</v>
      </c>
    </row>
    <row r="34" spans="1:6" x14ac:dyDescent="0.35">
      <c r="A34" s="20">
        <v>31</v>
      </c>
      <c r="B34" s="24">
        <v>45536</v>
      </c>
      <c r="C34" s="21" t="s">
        <v>37</v>
      </c>
      <c r="D34" s="22">
        <v>412000</v>
      </c>
      <c r="E34" s="26" t="s">
        <v>73</v>
      </c>
    </row>
    <row r="35" spans="1:6" x14ac:dyDescent="0.35">
      <c r="A35" s="20">
        <v>32</v>
      </c>
      <c r="B35" s="24">
        <v>45536</v>
      </c>
      <c r="C35" s="21" t="s">
        <v>33</v>
      </c>
      <c r="D35" s="22">
        <v>361000</v>
      </c>
      <c r="E35" s="26" t="s">
        <v>74</v>
      </c>
    </row>
    <row r="36" spans="1:6" x14ac:dyDescent="0.35">
      <c r="A36" s="20">
        <v>33</v>
      </c>
      <c r="B36" s="24">
        <v>45536</v>
      </c>
      <c r="C36" s="21" t="s">
        <v>30</v>
      </c>
      <c r="D36" s="22">
        <v>189000</v>
      </c>
      <c r="E36" s="26" t="s">
        <v>75</v>
      </c>
    </row>
    <row r="37" spans="1:6" x14ac:dyDescent="0.35">
      <c r="A37" s="20">
        <v>34</v>
      </c>
      <c r="B37" s="24">
        <v>45536</v>
      </c>
      <c r="C37" s="21" t="s">
        <v>31</v>
      </c>
      <c r="D37" s="22">
        <v>261000</v>
      </c>
      <c r="E37" s="26" t="s">
        <v>76</v>
      </c>
    </row>
    <row r="38" spans="1:6" x14ac:dyDescent="0.35">
      <c r="A38" s="20">
        <v>35</v>
      </c>
      <c r="B38" s="24">
        <v>45536</v>
      </c>
      <c r="C38" s="21" t="s">
        <v>34</v>
      </c>
      <c r="D38" s="22">
        <v>99000</v>
      </c>
      <c r="E38" s="26" t="s">
        <v>77</v>
      </c>
    </row>
    <row r="39" spans="1:6" x14ac:dyDescent="0.35">
      <c r="A39" s="20">
        <v>36</v>
      </c>
      <c r="B39" s="24">
        <v>45536</v>
      </c>
      <c r="C39" s="21" t="s">
        <v>35</v>
      </c>
      <c r="D39" s="22">
        <v>197000</v>
      </c>
      <c r="E39" s="26" t="s">
        <v>78</v>
      </c>
    </row>
    <row r="40" spans="1:6" x14ac:dyDescent="0.35">
      <c r="A40" s="20">
        <v>37</v>
      </c>
      <c r="B40" s="24">
        <v>45566</v>
      </c>
      <c r="C40" s="21" t="s">
        <v>37</v>
      </c>
      <c r="D40" s="22">
        <v>428000</v>
      </c>
      <c r="E40" s="26" t="s">
        <v>79</v>
      </c>
    </row>
    <row r="41" spans="1:6" x14ac:dyDescent="0.35">
      <c r="A41" s="20">
        <v>38</v>
      </c>
      <c r="B41" s="24">
        <v>45566</v>
      </c>
      <c r="C41" s="21" t="s">
        <v>33</v>
      </c>
      <c r="D41" s="22">
        <v>279000</v>
      </c>
      <c r="E41" s="26" t="s">
        <v>80</v>
      </c>
      <c r="F41" s="27"/>
    </row>
    <row r="42" spans="1:6" x14ac:dyDescent="0.35">
      <c r="A42" s="20">
        <v>39</v>
      </c>
      <c r="B42" s="24">
        <v>45566</v>
      </c>
      <c r="C42" s="21" t="s">
        <v>30</v>
      </c>
      <c r="D42" s="22">
        <v>193000</v>
      </c>
      <c r="E42" s="26" t="s">
        <v>81</v>
      </c>
    </row>
    <row r="43" spans="1:6" x14ac:dyDescent="0.35">
      <c r="A43" s="20">
        <v>40</v>
      </c>
      <c r="B43" s="24">
        <v>45566</v>
      </c>
      <c r="C43" s="21" t="s">
        <v>31</v>
      </c>
      <c r="D43" s="22">
        <v>255000</v>
      </c>
      <c r="E43" s="26" t="s">
        <v>82</v>
      </c>
    </row>
    <row r="44" spans="1:6" x14ac:dyDescent="0.35">
      <c r="A44" s="20">
        <v>41</v>
      </c>
      <c r="B44" s="24">
        <v>45566</v>
      </c>
      <c r="C44" s="21" t="s">
        <v>34</v>
      </c>
      <c r="D44" s="22">
        <v>107000</v>
      </c>
      <c r="E44" s="26" t="s">
        <v>83</v>
      </c>
    </row>
    <row r="45" spans="1:6" x14ac:dyDescent="0.35">
      <c r="A45" s="20">
        <v>42</v>
      </c>
      <c r="B45" s="24">
        <v>45566</v>
      </c>
      <c r="C45" s="21" t="s">
        <v>35</v>
      </c>
      <c r="D45" s="22">
        <v>214000</v>
      </c>
      <c r="E45" s="26" t="s">
        <v>84</v>
      </c>
    </row>
    <row r="46" spans="1:6" x14ac:dyDescent="0.35">
      <c r="A46" s="20">
        <v>43</v>
      </c>
      <c r="B46" s="24">
        <v>45597</v>
      </c>
      <c r="C46" s="21" t="s">
        <v>37</v>
      </c>
      <c r="D46" s="22">
        <v>376000</v>
      </c>
      <c r="E46" s="26" t="s">
        <v>85</v>
      </c>
    </row>
    <row r="47" spans="1:6" x14ac:dyDescent="0.35">
      <c r="A47" s="20">
        <v>44</v>
      </c>
      <c r="B47" s="24">
        <v>45597</v>
      </c>
      <c r="C47" s="21" t="s">
        <v>33</v>
      </c>
      <c r="D47" s="22">
        <v>283000</v>
      </c>
      <c r="E47" s="26" t="s">
        <v>86</v>
      </c>
    </row>
    <row r="48" spans="1:6" x14ac:dyDescent="0.35">
      <c r="A48" s="20">
        <v>45</v>
      </c>
      <c r="B48" s="24">
        <v>45597</v>
      </c>
      <c r="C48" s="21" t="s">
        <v>30</v>
      </c>
      <c r="D48" s="22">
        <v>191000</v>
      </c>
      <c r="E48" s="26" t="s">
        <v>87</v>
      </c>
    </row>
    <row r="49" spans="1:5" x14ac:dyDescent="0.35">
      <c r="A49" s="20">
        <v>46</v>
      </c>
      <c r="B49" s="24">
        <v>45597</v>
      </c>
      <c r="C49" s="21" t="s">
        <v>31</v>
      </c>
      <c r="D49" s="22">
        <v>248000</v>
      </c>
      <c r="E49" s="26" t="s">
        <v>88</v>
      </c>
    </row>
    <row r="50" spans="1:5" x14ac:dyDescent="0.35">
      <c r="A50" s="20">
        <v>47</v>
      </c>
      <c r="B50" s="24">
        <v>45597</v>
      </c>
      <c r="C50" s="21" t="s">
        <v>34</v>
      </c>
      <c r="D50" s="22">
        <v>103000</v>
      </c>
      <c r="E50" s="26" t="s">
        <v>89</v>
      </c>
    </row>
    <row r="51" spans="1:5" x14ac:dyDescent="0.35">
      <c r="A51" s="20">
        <v>48</v>
      </c>
      <c r="B51" s="24">
        <v>45597</v>
      </c>
      <c r="C51" s="21" t="s">
        <v>35</v>
      </c>
      <c r="D51" s="22">
        <v>219000</v>
      </c>
      <c r="E51" s="26" t="s">
        <v>90</v>
      </c>
    </row>
    <row r="52" spans="1:5" x14ac:dyDescent="0.35">
      <c r="A52" s="20">
        <v>49</v>
      </c>
      <c r="B52" s="24">
        <v>45627</v>
      </c>
      <c r="C52" s="21" t="s">
        <v>37</v>
      </c>
      <c r="D52" s="22">
        <v>354000</v>
      </c>
      <c r="E52" s="26" t="s">
        <v>91</v>
      </c>
    </row>
    <row r="53" spans="1:5" x14ac:dyDescent="0.35">
      <c r="A53" s="20">
        <v>50</v>
      </c>
      <c r="B53" s="24">
        <v>45627</v>
      </c>
      <c r="C53" s="21" t="s">
        <v>33</v>
      </c>
      <c r="D53" s="22">
        <v>272000</v>
      </c>
      <c r="E53" s="26" t="s">
        <v>92</v>
      </c>
    </row>
    <row r="54" spans="1:5" x14ac:dyDescent="0.35">
      <c r="A54" s="20">
        <v>51</v>
      </c>
      <c r="B54" s="24">
        <v>45627</v>
      </c>
      <c r="C54" s="21" t="s">
        <v>30</v>
      </c>
      <c r="D54" s="22">
        <v>162000</v>
      </c>
      <c r="E54" s="26" t="s">
        <v>93</v>
      </c>
    </row>
    <row r="55" spans="1:5" x14ac:dyDescent="0.35">
      <c r="A55" s="20">
        <v>52</v>
      </c>
      <c r="B55" s="24">
        <v>45627</v>
      </c>
      <c r="C55" s="21" t="s">
        <v>31</v>
      </c>
      <c r="D55" s="22">
        <v>241000</v>
      </c>
      <c r="E55" s="26" t="s">
        <v>94</v>
      </c>
    </row>
    <row r="56" spans="1:5" x14ac:dyDescent="0.35">
      <c r="A56" s="20">
        <v>53</v>
      </c>
      <c r="B56" s="24">
        <v>45627</v>
      </c>
      <c r="C56" s="21" t="s">
        <v>34</v>
      </c>
      <c r="D56" s="22">
        <v>95000</v>
      </c>
      <c r="E56" s="26" t="s">
        <v>95</v>
      </c>
    </row>
    <row r="57" spans="1:5" x14ac:dyDescent="0.35">
      <c r="A57" s="20">
        <v>54</v>
      </c>
      <c r="B57" s="24">
        <v>45627</v>
      </c>
      <c r="C57" s="21" t="s">
        <v>35</v>
      </c>
      <c r="D57" s="22">
        <v>188000</v>
      </c>
      <c r="E57" s="26" t="s">
        <v>96</v>
      </c>
    </row>
    <row r="58" spans="1:5" x14ac:dyDescent="0.35">
      <c r="A58" s="20">
        <v>55</v>
      </c>
      <c r="B58" s="24">
        <v>45658</v>
      </c>
      <c r="C58" s="21" t="s">
        <v>37</v>
      </c>
      <c r="D58" s="22">
        <v>419000</v>
      </c>
      <c r="E58" s="26" t="s">
        <v>97</v>
      </c>
    </row>
    <row r="59" spans="1:5" x14ac:dyDescent="0.35">
      <c r="A59" s="20">
        <v>56</v>
      </c>
      <c r="B59" s="24">
        <v>45658</v>
      </c>
      <c r="C59" s="21" t="s">
        <v>33</v>
      </c>
      <c r="D59" s="22">
        <v>294000</v>
      </c>
      <c r="E59" s="26" t="s">
        <v>98</v>
      </c>
    </row>
    <row r="60" spans="1:5" x14ac:dyDescent="0.35">
      <c r="A60" s="20">
        <v>57</v>
      </c>
      <c r="B60" s="24">
        <v>45658</v>
      </c>
      <c r="C60" s="21" t="s">
        <v>30</v>
      </c>
      <c r="D60" s="22">
        <v>155000</v>
      </c>
      <c r="E60" s="26" t="s">
        <v>99</v>
      </c>
    </row>
    <row r="61" spans="1:5" x14ac:dyDescent="0.35">
      <c r="A61" s="20">
        <v>58</v>
      </c>
      <c r="B61" s="24">
        <v>45658</v>
      </c>
      <c r="C61" s="21" t="s">
        <v>31</v>
      </c>
      <c r="D61" s="22">
        <v>253000</v>
      </c>
      <c r="E61" s="26" t="s">
        <v>100</v>
      </c>
    </row>
    <row r="62" spans="1:5" x14ac:dyDescent="0.35">
      <c r="A62" s="20">
        <v>59</v>
      </c>
      <c r="B62" s="24">
        <v>45658</v>
      </c>
      <c r="C62" s="21" t="s">
        <v>34</v>
      </c>
      <c r="D62" s="22">
        <v>111000</v>
      </c>
      <c r="E62" s="26" t="s">
        <v>101</v>
      </c>
    </row>
    <row r="63" spans="1:5" x14ac:dyDescent="0.35">
      <c r="A63" s="20">
        <v>60</v>
      </c>
      <c r="B63" s="24">
        <v>45658</v>
      </c>
      <c r="C63" s="21" t="s">
        <v>35</v>
      </c>
      <c r="D63" s="22">
        <v>207000</v>
      </c>
      <c r="E63" s="26" t="s">
        <v>102</v>
      </c>
    </row>
    <row r="64" spans="1:5" x14ac:dyDescent="0.35">
      <c r="A64" s="20">
        <v>61</v>
      </c>
      <c r="B64" s="24">
        <v>45689</v>
      </c>
      <c r="C64" s="21" t="s">
        <v>37</v>
      </c>
      <c r="D64" s="22">
        <v>433000</v>
      </c>
      <c r="E64" s="26" t="s">
        <v>103</v>
      </c>
    </row>
    <row r="65" spans="1:5" x14ac:dyDescent="0.35">
      <c r="A65" s="20">
        <v>62</v>
      </c>
      <c r="B65" s="24">
        <v>45689</v>
      </c>
      <c r="C65" s="21" t="s">
        <v>33</v>
      </c>
      <c r="D65" s="22">
        <v>307000</v>
      </c>
      <c r="E65" s="26" t="s">
        <v>104</v>
      </c>
    </row>
    <row r="66" spans="1:5" x14ac:dyDescent="0.35">
      <c r="A66" s="20">
        <v>63</v>
      </c>
      <c r="B66" s="24">
        <v>45689</v>
      </c>
      <c r="C66" s="21" t="s">
        <v>30</v>
      </c>
      <c r="D66" s="22">
        <v>158000</v>
      </c>
      <c r="E66" s="26" t="s">
        <v>105</v>
      </c>
    </row>
    <row r="67" spans="1:5" x14ac:dyDescent="0.35">
      <c r="A67" s="20">
        <v>64</v>
      </c>
      <c r="B67" s="24">
        <v>45689</v>
      </c>
      <c r="C67" s="21" t="s">
        <v>31</v>
      </c>
      <c r="D67" s="22">
        <v>267000</v>
      </c>
      <c r="E67" s="26" t="s">
        <v>106</v>
      </c>
    </row>
    <row r="68" spans="1:5" x14ac:dyDescent="0.35">
      <c r="A68" s="20">
        <v>65</v>
      </c>
      <c r="B68" s="24">
        <v>45689</v>
      </c>
      <c r="C68" s="21" t="s">
        <v>34</v>
      </c>
      <c r="D68" s="22">
        <v>102000</v>
      </c>
      <c r="E68" s="26" t="s">
        <v>107</v>
      </c>
    </row>
    <row r="69" spans="1:5" x14ac:dyDescent="0.35">
      <c r="A69" s="20">
        <v>66</v>
      </c>
      <c r="B69" s="24">
        <v>45689</v>
      </c>
      <c r="C69" s="21" t="s">
        <v>35</v>
      </c>
      <c r="D69" s="22">
        <v>216000</v>
      </c>
      <c r="E69" s="26" t="s">
        <v>108</v>
      </c>
    </row>
    <row r="70" spans="1:5" x14ac:dyDescent="0.35">
      <c r="A70" s="20">
        <v>67</v>
      </c>
      <c r="B70" s="24">
        <v>45717</v>
      </c>
      <c r="C70" s="21" t="s">
        <v>37</v>
      </c>
      <c r="D70" s="22">
        <v>451000</v>
      </c>
      <c r="E70" s="26" t="s">
        <v>109</v>
      </c>
    </row>
    <row r="71" spans="1:5" x14ac:dyDescent="0.35">
      <c r="A71" s="20">
        <v>68</v>
      </c>
      <c r="B71" s="24">
        <v>45717</v>
      </c>
      <c r="C71" s="21" t="s">
        <v>33</v>
      </c>
      <c r="D71" s="22">
        <v>309000</v>
      </c>
      <c r="E71" s="26" t="s">
        <v>110</v>
      </c>
    </row>
    <row r="72" spans="1:5" x14ac:dyDescent="0.35">
      <c r="A72" s="20">
        <v>69</v>
      </c>
      <c r="B72" s="24">
        <v>45717</v>
      </c>
      <c r="C72" s="21" t="s">
        <v>30</v>
      </c>
      <c r="D72" s="22">
        <v>164000</v>
      </c>
      <c r="E72" s="26" t="s">
        <v>111</v>
      </c>
    </row>
    <row r="73" spans="1:5" x14ac:dyDescent="0.35">
      <c r="A73" s="20">
        <v>70</v>
      </c>
      <c r="B73" s="24">
        <v>45717</v>
      </c>
      <c r="C73" s="21" t="s">
        <v>31</v>
      </c>
      <c r="D73" s="22">
        <v>272000</v>
      </c>
      <c r="E73" s="26" t="s">
        <v>112</v>
      </c>
    </row>
    <row r="74" spans="1:5" x14ac:dyDescent="0.35">
      <c r="A74" s="20">
        <v>71</v>
      </c>
      <c r="B74" s="24">
        <v>45717</v>
      </c>
      <c r="C74" s="21" t="s">
        <v>34</v>
      </c>
      <c r="D74" s="22">
        <v>109000</v>
      </c>
      <c r="E74" s="26" t="s">
        <v>113</v>
      </c>
    </row>
    <row r="75" spans="1:5" x14ac:dyDescent="0.35">
      <c r="A75" s="20">
        <v>72</v>
      </c>
      <c r="B75" s="24">
        <v>45717</v>
      </c>
      <c r="C75" s="21" t="s">
        <v>35</v>
      </c>
      <c r="D75" s="22">
        <v>221000</v>
      </c>
      <c r="E75" s="26" t="s">
        <v>114</v>
      </c>
    </row>
    <row r="76" spans="1:5" x14ac:dyDescent="0.35">
      <c r="A76" s="20"/>
      <c r="B76" s="6"/>
      <c r="C76" s="6"/>
      <c r="D76" s="22"/>
    </row>
    <row r="77" spans="1:5" x14ac:dyDescent="0.35">
      <c r="A77" s="20"/>
      <c r="B77" s="6"/>
      <c r="C77" s="6"/>
      <c r="D77" s="22"/>
    </row>
    <row r="78" spans="1:5" x14ac:dyDescent="0.35">
      <c r="A78" s="20"/>
      <c r="B78" s="6"/>
      <c r="C78" s="6"/>
      <c r="D78" s="22"/>
    </row>
  </sheetData>
  <mergeCells count="2">
    <mergeCell ref="A1:E1"/>
    <mergeCell ref="A2:E2"/>
  </mergeCells>
  <dataValidations count="4">
    <dataValidation type="list" allowBlank="1" showInputMessage="1" showErrorMessage="1" sqref="B4:B75" xr:uid="{D867D721-B9C2-49AB-82C8-1B05BB422103}">
      <formula1>"Apr-2024,May-2024,Jun-2024,Jul-2024,Aug-2024,Sep-2024,Oct-2024,Nov-2024,Dec-2024,Jan-2025,Feb-2025,Mar-2025"</formula1>
    </dataValidation>
    <dataValidation type="list" allowBlank="1" showInputMessage="1" showErrorMessage="1" sqref="C4:C5" xr:uid="{B0DF73FB-669C-4E41-BC6B-5E9FB19A2141}">
      <formula1>"Sales &amp; Marketing,Technology &amp; IT,Opertions,Finance &amp; Admin,Research &amp; Development"</formula1>
    </dataValidation>
    <dataValidation type="list" allowBlank="1" showInputMessage="1" showErrorMessage="1" sqref="C6" xr:uid="{C73E1C09-75BD-4A97-9C7C-FC4D0CFC97FB}">
      <formula1>"Sales &amp; Marketing,Technology &amp; IT,Human Resources,Opertions,Finance &amp; Admin,Research &amp; Development"</formula1>
    </dataValidation>
    <dataValidation type="list" allowBlank="1" showInputMessage="1" showErrorMessage="1" sqref="C7:C78" xr:uid="{418B63E0-3A7B-4F5D-BF74-67062534C97B}">
      <formula1>"Sales &amp; Marketing,Technology &amp; IT,Human Resources,Operations,Finance &amp; Admin,Research &amp; Development"</formula1>
    </dataValidation>
  </dataValidations>
  <pageMargins left="0.25" right="0.25" top="0.75" bottom="0.7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487C-3EB6-4B0F-A635-052034168CAB}">
  <sheetPr>
    <tabColor theme="1" tint="0.499984740745262"/>
  </sheetPr>
  <dimension ref="A1:Q25"/>
  <sheetViews>
    <sheetView showGridLines="0" zoomScale="65" zoomScaleNormal="33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Q20" sqref="Q20"/>
    </sheetView>
  </sheetViews>
  <sheetFormatPr defaultRowHeight="14.5" x14ac:dyDescent="0.35"/>
  <cols>
    <col min="1" max="1" width="22.6328125" customWidth="1"/>
    <col min="2" max="2" width="12.6328125" customWidth="1"/>
    <col min="3" max="14" width="10.6328125" customWidth="1"/>
    <col min="15" max="15" width="12.6328125" customWidth="1"/>
    <col min="16" max="16" width="8.6328125" customWidth="1"/>
    <col min="17" max="17" width="14.6328125" customWidth="1"/>
  </cols>
  <sheetData>
    <row r="1" spans="1:17" ht="35" customHeight="1" x14ac:dyDescent="0.45">
      <c r="A1" s="61" t="s">
        <v>115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 ht="15" thickBot="1" x14ac:dyDescent="0.4"/>
    <row r="3" spans="1:17" ht="28" customHeight="1" thickBot="1" x14ac:dyDescent="0.4">
      <c r="A3" s="44" t="s">
        <v>42</v>
      </c>
      <c r="B3" s="45" t="s">
        <v>116</v>
      </c>
      <c r="C3" s="46">
        <v>45383</v>
      </c>
      <c r="D3" s="46">
        <v>45413</v>
      </c>
      <c r="E3" s="46">
        <v>45444</v>
      </c>
      <c r="F3" s="46">
        <v>45474</v>
      </c>
      <c r="G3" s="46">
        <v>45505</v>
      </c>
      <c r="H3" s="46">
        <v>45536</v>
      </c>
      <c r="I3" s="46">
        <v>45566</v>
      </c>
      <c r="J3" s="46">
        <v>45597</v>
      </c>
      <c r="K3" s="46">
        <v>45627</v>
      </c>
      <c r="L3" s="46">
        <v>45658</v>
      </c>
      <c r="M3" s="46">
        <v>45689</v>
      </c>
      <c r="N3" s="46">
        <v>45717</v>
      </c>
      <c r="O3" s="45" t="s">
        <v>117</v>
      </c>
      <c r="P3" s="45" t="s">
        <v>118</v>
      </c>
      <c r="Q3" s="47" t="s">
        <v>119</v>
      </c>
    </row>
    <row r="4" spans="1:17" x14ac:dyDescent="0.35">
      <c r="A4" s="62" t="s">
        <v>37</v>
      </c>
      <c r="B4" s="32" t="s">
        <v>120</v>
      </c>
      <c r="C4" s="33">
        <f>ASSUMPTIONS!C4</f>
        <v>400000</v>
      </c>
      <c r="D4" s="33">
        <f>ASSUMPTIONS!D4</f>
        <v>400000</v>
      </c>
      <c r="E4" s="33">
        <f>ASSUMPTIONS!E4</f>
        <v>400000</v>
      </c>
      <c r="F4" s="33">
        <f>ASSUMPTIONS!F4</f>
        <v>400000</v>
      </c>
      <c r="G4" s="33">
        <f>ASSUMPTIONS!G4</f>
        <v>400000</v>
      </c>
      <c r="H4" s="33">
        <f>ASSUMPTIONS!H4</f>
        <v>400000</v>
      </c>
      <c r="I4" s="33">
        <f>ASSUMPTIONS!I4</f>
        <v>400000</v>
      </c>
      <c r="J4" s="33">
        <f>ASSUMPTIONS!J4</f>
        <v>400000</v>
      </c>
      <c r="K4" s="33">
        <f>ASSUMPTIONS!K4</f>
        <v>400000</v>
      </c>
      <c r="L4" s="33">
        <f>ASSUMPTIONS!L4</f>
        <v>400000</v>
      </c>
      <c r="M4" s="33">
        <f>ASSUMPTIONS!M4</f>
        <v>400000</v>
      </c>
      <c r="N4" s="33">
        <f>ASSUMPTIONS!N4</f>
        <v>400000</v>
      </c>
      <c r="O4" s="34">
        <f>SUM(C4:N4)</f>
        <v>4800000</v>
      </c>
      <c r="P4" s="32"/>
      <c r="Q4" s="32"/>
    </row>
    <row r="5" spans="1:17" x14ac:dyDescent="0.35">
      <c r="A5" s="58"/>
      <c r="B5" s="5" t="s">
        <v>121</v>
      </c>
      <c r="C5" s="29">
        <f>SUMIFS(ActualData[Actual Spend (₹)],ActualData[Department],$A4,ActualData[Month],C$3)</f>
        <v>438000</v>
      </c>
      <c r="D5" s="29">
        <f>SUMIFS(ActualData[Actual Spend (₹)],ActualData[Department],$A4,ActualData[Month],D$3)</f>
        <v>471000</v>
      </c>
      <c r="E5" s="29">
        <f>SUMIFS(ActualData[Actual Spend (₹)],ActualData[Department],$A4,ActualData[Month],E$3)</f>
        <v>485000</v>
      </c>
      <c r="F5" s="29">
        <f>SUMIFS(ActualData[Actual Spend (₹)],ActualData[Department],$A4,ActualData[Month],F$3)</f>
        <v>392000</v>
      </c>
      <c r="G5" s="29">
        <f>SUMIFS(ActualData[Actual Spend (₹)],ActualData[Department],$A4,ActualData[Month],G$3)</f>
        <v>388000</v>
      </c>
      <c r="H5" s="29">
        <f>SUMIFS(ActualData[Actual Spend (₹)],ActualData[Department],$A4,ActualData[Month],H$3)</f>
        <v>412000</v>
      </c>
      <c r="I5" s="29">
        <f>SUMIFS(ActualData[Actual Spend (₹)],ActualData[Department],$A4,ActualData[Month],I$3)</f>
        <v>428000</v>
      </c>
      <c r="J5" s="29">
        <f>SUMIFS(ActualData[Actual Spend (₹)],ActualData[Department],$A4,ActualData[Month],J$3)</f>
        <v>376000</v>
      </c>
      <c r="K5" s="29">
        <f>SUMIFS(ActualData[Actual Spend (₹)],ActualData[Department],$A4,ActualData[Month],K$3)</f>
        <v>354000</v>
      </c>
      <c r="L5" s="29">
        <f>SUMIFS(ActualData[Actual Spend (₹)],ActualData[Department],$A4,ActualData[Month],L$3)</f>
        <v>419000</v>
      </c>
      <c r="M5" s="29">
        <f>SUMIFS(ActualData[Actual Spend (₹)],ActualData[Department],$A4,ActualData[Month],M$3)</f>
        <v>433000</v>
      </c>
      <c r="N5" s="29">
        <f>SUMIFS(ActualData[Actual Spend (₹)],ActualData[Department],$A4,ActualData[Month],N$3)</f>
        <v>451000</v>
      </c>
      <c r="O5" s="30">
        <f>SUM(C5:N5)</f>
        <v>5047000</v>
      </c>
      <c r="P5" s="5"/>
      <c r="Q5" s="5"/>
    </row>
    <row r="6" spans="1:17" ht="15" thickBot="1" x14ac:dyDescent="0.4">
      <c r="A6" s="59"/>
      <c r="B6" s="38" t="s">
        <v>122</v>
      </c>
      <c r="C6" s="39">
        <f>C5-C4</f>
        <v>38000</v>
      </c>
      <c r="D6" s="39">
        <f t="shared" ref="D6:N6" si="0">D5-D4</f>
        <v>71000</v>
      </c>
      <c r="E6" s="39">
        <f t="shared" si="0"/>
        <v>85000</v>
      </c>
      <c r="F6" s="39">
        <f t="shared" si="0"/>
        <v>-8000</v>
      </c>
      <c r="G6" s="39">
        <f t="shared" si="0"/>
        <v>-12000</v>
      </c>
      <c r="H6" s="39">
        <f t="shared" si="0"/>
        <v>12000</v>
      </c>
      <c r="I6" s="39">
        <f t="shared" si="0"/>
        <v>28000</v>
      </c>
      <c r="J6" s="39">
        <f t="shared" si="0"/>
        <v>-24000</v>
      </c>
      <c r="K6" s="39">
        <f t="shared" si="0"/>
        <v>-46000</v>
      </c>
      <c r="L6" s="39">
        <f t="shared" si="0"/>
        <v>19000</v>
      </c>
      <c r="M6" s="39">
        <f t="shared" si="0"/>
        <v>33000</v>
      </c>
      <c r="N6" s="39">
        <f t="shared" si="0"/>
        <v>51000</v>
      </c>
      <c r="O6" s="40">
        <f>O5-O4</f>
        <v>247000</v>
      </c>
      <c r="P6" s="41">
        <f>IF(O4=0,0,O6/O4)</f>
        <v>5.1458333333333335E-2</v>
      </c>
      <c r="Q6" s="42" t="str">
        <f>IF(P6&gt;0.1,"OVER BUDGET",IF(P6&gt;0.05,"WATCH",IF(P6&gt;=-0.05,"ON TRACK","UNDER BUDGET")))</f>
        <v>WATCH</v>
      </c>
    </row>
    <row r="7" spans="1:17" x14ac:dyDescent="0.35">
      <c r="A7" s="57" t="s">
        <v>33</v>
      </c>
      <c r="B7" s="35" t="s">
        <v>120</v>
      </c>
      <c r="C7" s="36">
        <f>ASSUMPTIONS!C5</f>
        <v>300000</v>
      </c>
      <c r="D7" s="36">
        <f>ASSUMPTIONS!D5</f>
        <v>300000</v>
      </c>
      <c r="E7" s="36">
        <f>ASSUMPTIONS!E5</f>
        <v>300000</v>
      </c>
      <c r="F7" s="36">
        <f>ASSUMPTIONS!F5</f>
        <v>300000</v>
      </c>
      <c r="G7" s="36">
        <f>ASSUMPTIONS!G5</f>
        <v>300000</v>
      </c>
      <c r="H7" s="36">
        <f>ASSUMPTIONS!H5</f>
        <v>300000</v>
      </c>
      <c r="I7" s="36">
        <f>ASSUMPTIONS!I5</f>
        <v>300000</v>
      </c>
      <c r="J7" s="36">
        <f>ASSUMPTIONS!J5</f>
        <v>300000</v>
      </c>
      <c r="K7" s="36">
        <f>ASSUMPTIONS!K5</f>
        <v>300000</v>
      </c>
      <c r="L7" s="36">
        <f>ASSUMPTIONS!L5</f>
        <v>300000</v>
      </c>
      <c r="M7" s="36">
        <f>ASSUMPTIONS!M5</f>
        <v>300000</v>
      </c>
      <c r="N7" s="36">
        <f>ASSUMPTIONS!N5</f>
        <v>300000</v>
      </c>
      <c r="O7" s="37">
        <f>SUM(C7:N7)</f>
        <v>3600000</v>
      </c>
      <c r="P7" s="35"/>
      <c r="Q7" s="35"/>
    </row>
    <row r="8" spans="1:17" x14ac:dyDescent="0.35">
      <c r="A8" s="58"/>
      <c r="B8" s="5" t="s">
        <v>121</v>
      </c>
      <c r="C8" s="29">
        <f>SUMIFS(ActualData[Actual Spend (₹)],ActualData[Department],$A4,ActualData[Month],C$3)</f>
        <v>438000</v>
      </c>
      <c r="D8" s="29">
        <f>SUMIFS(ActualData[Actual Spend (₹)],ActualData[Department],$A7,ActualData[Month],D$3)</f>
        <v>318000</v>
      </c>
      <c r="E8" s="29">
        <f>SUMIFS(ActualData[Actual Spend (₹)],ActualData[Department],$A7,ActualData[Month],E$3)</f>
        <v>288000</v>
      </c>
      <c r="F8" s="29">
        <f>SUMIFS(ActualData[Actual Spend (₹)],ActualData[Department],$A7,ActualData[Month],F$3)</f>
        <v>342000</v>
      </c>
      <c r="G8" s="29">
        <f>SUMIFS(ActualData[Actual Spend (₹)],ActualData[Department],$A7,ActualData[Month],G$3)</f>
        <v>356000</v>
      </c>
      <c r="H8" s="29">
        <f>SUMIFS(ActualData[Actual Spend (₹)],ActualData[Department],$A7,ActualData[Month],H$3)</f>
        <v>361000</v>
      </c>
      <c r="I8" s="29">
        <f>SUMIFS(ActualData[Actual Spend (₹)],ActualData[Department],$A7,ActualData[Month],I$3)</f>
        <v>279000</v>
      </c>
      <c r="J8" s="29">
        <f>SUMIFS(ActualData[Actual Spend (₹)],ActualData[Department],$A7,ActualData[Month],J$3)</f>
        <v>283000</v>
      </c>
      <c r="K8" s="29">
        <f>SUMIFS(ActualData[Actual Spend (₹)],ActualData[Department],$A7,ActualData[Month],K$3)</f>
        <v>272000</v>
      </c>
      <c r="L8" s="29">
        <f>SUMIFS(ActualData[Actual Spend (₹)],ActualData[Department],$A7,ActualData[Month],L$3)</f>
        <v>294000</v>
      </c>
      <c r="M8" s="29">
        <f>SUMIFS(ActualData[Actual Spend (₹)],ActualData[Department],$A7,ActualData[Month],M$3)</f>
        <v>307000</v>
      </c>
      <c r="N8" s="29">
        <f>SUMIFS(ActualData[Actual Spend (₹)],ActualData[Department],$A7,ActualData[Month],N$3)</f>
        <v>309000</v>
      </c>
      <c r="O8" s="30">
        <f>SUM(C8:N8)</f>
        <v>3847000</v>
      </c>
      <c r="P8" s="5"/>
      <c r="Q8" s="5"/>
    </row>
    <row r="9" spans="1:17" ht="15" thickBot="1" x14ac:dyDescent="0.4">
      <c r="A9" s="59"/>
      <c r="B9" s="38" t="s">
        <v>122</v>
      </c>
      <c r="C9" s="39">
        <f>C8-C7</f>
        <v>138000</v>
      </c>
      <c r="D9" s="39">
        <f t="shared" ref="D9:N9" si="1">D8-D7</f>
        <v>18000</v>
      </c>
      <c r="E9" s="39">
        <f t="shared" si="1"/>
        <v>-12000</v>
      </c>
      <c r="F9" s="39">
        <f t="shared" si="1"/>
        <v>42000</v>
      </c>
      <c r="G9" s="39">
        <f t="shared" si="1"/>
        <v>56000</v>
      </c>
      <c r="H9" s="39">
        <f t="shared" si="1"/>
        <v>61000</v>
      </c>
      <c r="I9" s="39">
        <f t="shared" si="1"/>
        <v>-21000</v>
      </c>
      <c r="J9" s="39">
        <f t="shared" si="1"/>
        <v>-17000</v>
      </c>
      <c r="K9" s="39">
        <f t="shared" si="1"/>
        <v>-28000</v>
      </c>
      <c r="L9" s="39">
        <f t="shared" si="1"/>
        <v>-6000</v>
      </c>
      <c r="M9" s="39">
        <f t="shared" si="1"/>
        <v>7000</v>
      </c>
      <c r="N9" s="39">
        <f t="shared" si="1"/>
        <v>9000</v>
      </c>
      <c r="O9" s="40">
        <f>O8-O7</f>
        <v>247000</v>
      </c>
      <c r="P9" s="43">
        <f>IF(O7=0,0,O9/O7)</f>
        <v>6.8611111111111109E-2</v>
      </c>
      <c r="Q9" s="42" t="str">
        <f>IF(P9&gt;0.1,"OVER BUDGET",IF(P9&gt;0.05,"WATCH",IF(P9&gt;=-0.05,"ON TRACK","UNDER BUDGET")))</f>
        <v>WATCH</v>
      </c>
    </row>
    <row r="10" spans="1:17" x14ac:dyDescent="0.35">
      <c r="A10" s="57" t="s">
        <v>30</v>
      </c>
      <c r="B10" s="35" t="s">
        <v>120</v>
      </c>
      <c r="C10" s="36">
        <f>ASSUMPTIONS!C6</f>
        <v>150000</v>
      </c>
      <c r="D10" s="36">
        <f>ASSUMPTIONS!D6</f>
        <v>150000</v>
      </c>
      <c r="E10" s="36">
        <f>ASSUMPTIONS!E6</f>
        <v>150000</v>
      </c>
      <c r="F10" s="36">
        <f>ASSUMPTIONS!F6</f>
        <v>150000</v>
      </c>
      <c r="G10" s="36">
        <f>ASSUMPTIONS!G6</f>
        <v>150000</v>
      </c>
      <c r="H10" s="36">
        <f>ASSUMPTIONS!H6</f>
        <v>150000</v>
      </c>
      <c r="I10" s="36">
        <f>ASSUMPTIONS!I6</f>
        <v>150000</v>
      </c>
      <c r="J10" s="36">
        <f>ASSUMPTIONS!J6</f>
        <v>150000</v>
      </c>
      <c r="K10" s="36">
        <f>ASSUMPTIONS!K6</f>
        <v>150000</v>
      </c>
      <c r="L10" s="36">
        <f>ASSUMPTIONS!L6</f>
        <v>150000</v>
      </c>
      <c r="M10" s="36">
        <f>ASSUMPTIONS!M6</f>
        <v>150000</v>
      </c>
      <c r="N10" s="36">
        <f>ASSUMPTIONS!N6</f>
        <v>150000</v>
      </c>
      <c r="O10" s="37">
        <f>SUM(C10:N10)</f>
        <v>1800000</v>
      </c>
      <c r="P10" s="35"/>
      <c r="Q10" s="35"/>
    </row>
    <row r="11" spans="1:17" x14ac:dyDescent="0.35">
      <c r="A11" s="58"/>
      <c r="B11" s="5" t="s">
        <v>121</v>
      </c>
      <c r="C11" s="29">
        <f>SUMIFS(ActualData[Actual Spend (₹)],ActualData[Department],$A10,ActualData[Month],C$3)</f>
        <v>152000</v>
      </c>
      <c r="D11" s="29">
        <f>SUMIFS(ActualData[Actual Spend (₹)],ActualData[Department],$A10,ActualData[Month],D$3)</f>
        <v>147000</v>
      </c>
      <c r="E11" s="29">
        <f>SUMIFS(ActualData[Actual Spend (₹)],ActualData[Department],$A10,ActualData[Month],E$3)</f>
        <v>153000</v>
      </c>
      <c r="F11" s="29">
        <f>SUMIFS(ActualData[Actual Spend (₹)],ActualData[Department],$A10,ActualData[Month],F$3)</f>
        <v>149000</v>
      </c>
      <c r="G11" s="29">
        <f>SUMIFS(ActualData[Actual Spend (₹)],ActualData[Department],$A10,ActualData[Month],G$3)</f>
        <v>174000</v>
      </c>
      <c r="H11" s="29">
        <f>SUMIFS(ActualData[Actual Spend (₹)],ActualData[Department],$A10,ActualData[Month],H$3)</f>
        <v>189000</v>
      </c>
      <c r="I11" s="29">
        <f>SUMIFS(ActualData[Actual Spend (₹)],ActualData[Department],$A10,ActualData[Month],I$3)</f>
        <v>193000</v>
      </c>
      <c r="J11" s="29">
        <f>SUMIFS(ActualData[Actual Spend (₹)],ActualData[Department],$A10,ActualData[Month],J$3)</f>
        <v>191000</v>
      </c>
      <c r="K11" s="29">
        <f>SUMIFS(ActualData[Actual Spend (₹)],ActualData[Department],$A10,ActualData[Month],K$3)</f>
        <v>162000</v>
      </c>
      <c r="L11" s="29">
        <f>SUMIFS(ActualData[Actual Spend (₹)],ActualData[Department],$A10,ActualData[Month],L$3)</f>
        <v>155000</v>
      </c>
      <c r="M11" s="29">
        <f>SUMIFS(ActualData[Actual Spend (₹)],ActualData[Department],$A10,ActualData[Month],M$3)</f>
        <v>158000</v>
      </c>
      <c r="N11" s="29">
        <f>SUMIFS(ActualData[Actual Spend (₹)],ActualData[Department],$A10,ActualData[Month],N$3)</f>
        <v>164000</v>
      </c>
      <c r="O11" s="28">
        <f>SUM(C11:N11)</f>
        <v>1987000</v>
      </c>
      <c r="P11" s="5"/>
      <c r="Q11" s="5"/>
    </row>
    <row r="12" spans="1:17" ht="15" thickBot="1" x14ac:dyDescent="0.4">
      <c r="A12" s="59"/>
      <c r="B12" s="38" t="s">
        <v>122</v>
      </c>
      <c r="C12" s="39">
        <f>C11-C10</f>
        <v>2000</v>
      </c>
      <c r="D12" s="39">
        <f t="shared" ref="D12:N12" si="2">D11-D10</f>
        <v>-3000</v>
      </c>
      <c r="E12" s="39">
        <f t="shared" si="2"/>
        <v>3000</v>
      </c>
      <c r="F12" s="39">
        <f t="shared" si="2"/>
        <v>-1000</v>
      </c>
      <c r="G12" s="39">
        <f t="shared" si="2"/>
        <v>24000</v>
      </c>
      <c r="H12" s="39">
        <f t="shared" si="2"/>
        <v>39000</v>
      </c>
      <c r="I12" s="39">
        <f t="shared" si="2"/>
        <v>43000</v>
      </c>
      <c r="J12" s="39">
        <f t="shared" si="2"/>
        <v>41000</v>
      </c>
      <c r="K12" s="39">
        <f t="shared" si="2"/>
        <v>12000</v>
      </c>
      <c r="L12" s="39">
        <f t="shared" si="2"/>
        <v>5000</v>
      </c>
      <c r="M12" s="39">
        <f t="shared" si="2"/>
        <v>8000</v>
      </c>
      <c r="N12" s="39">
        <f t="shared" si="2"/>
        <v>14000</v>
      </c>
      <c r="O12" s="40">
        <f>O11-O10</f>
        <v>187000</v>
      </c>
      <c r="P12" s="43">
        <f>IF(O10=0,0,O12/O10)</f>
        <v>0.10388888888888889</v>
      </c>
      <c r="Q12" s="42" t="str">
        <f>IF(P12&gt;0.1,"OVER BUDGET",IF(P12&gt;0.05,"WATCH",IF(P12&gt;=-0.05,"ON TRACK","UNDER BUDGET")))</f>
        <v>OVER BUDGET</v>
      </c>
    </row>
    <row r="13" spans="1:17" x14ac:dyDescent="0.35">
      <c r="A13" s="57" t="s">
        <v>31</v>
      </c>
      <c r="B13" s="35" t="s">
        <v>120</v>
      </c>
      <c r="C13" s="36">
        <f>ASSUMPTIONS!C7</f>
        <v>250000</v>
      </c>
      <c r="D13" s="36">
        <f>ASSUMPTIONS!D7</f>
        <v>250000</v>
      </c>
      <c r="E13" s="36">
        <f>ASSUMPTIONS!E7</f>
        <v>250000</v>
      </c>
      <c r="F13" s="36">
        <f>ASSUMPTIONS!F7</f>
        <v>250000</v>
      </c>
      <c r="G13" s="36">
        <f>ASSUMPTIONS!G7</f>
        <v>250000</v>
      </c>
      <c r="H13" s="36">
        <f>ASSUMPTIONS!H7</f>
        <v>250000</v>
      </c>
      <c r="I13" s="36">
        <f>ASSUMPTIONS!I7</f>
        <v>250000</v>
      </c>
      <c r="J13" s="36">
        <f>ASSUMPTIONS!J7</f>
        <v>250000</v>
      </c>
      <c r="K13" s="36">
        <f>ASSUMPTIONS!K7</f>
        <v>250000</v>
      </c>
      <c r="L13" s="36">
        <f>ASSUMPTIONS!L7</f>
        <v>250000</v>
      </c>
      <c r="M13" s="36">
        <f>ASSUMPTIONS!M7</f>
        <v>250000</v>
      </c>
      <c r="N13" s="36">
        <f>ASSUMPTIONS!N7</f>
        <v>250000</v>
      </c>
      <c r="O13" s="37">
        <f t="shared" ref="O13:O20" si="3">SUM(C13:N13)</f>
        <v>3000000</v>
      </c>
      <c r="P13" s="35"/>
      <c r="Q13" s="35"/>
    </row>
    <row r="14" spans="1:17" x14ac:dyDescent="0.35">
      <c r="A14" s="58"/>
      <c r="B14" s="5" t="s">
        <v>121</v>
      </c>
      <c r="C14" s="29">
        <f>SUMIFS(ActualData[Actual Spend (₹)],ActualData[Department],$A13,ActualData[Month],C$3)</f>
        <v>263000</v>
      </c>
      <c r="D14" s="29">
        <f>SUMIFS(ActualData[Actual Spend (₹)],ActualData[Department],$A13,ActualData[Month],D$3)</f>
        <v>244000</v>
      </c>
      <c r="E14" s="29">
        <f>SUMIFS(ActualData[Actual Spend (₹)],ActualData[Department],$A13,ActualData[Month],E$3)</f>
        <v>258000</v>
      </c>
      <c r="F14" s="29">
        <f>SUMIFS(ActualData[Actual Spend (₹)],ActualData[Department],$A13,ActualData[Month],F$3)</f>
        <v>247000</v>
      </c>
      <c r="G14" s="29">
        <f>SUMIFS(ActualData[Actual Spend (₹)],ActualData[Department],$A13,ActualData[Month],G$3)</f>
        <v>252000</v>
      </c>
      <c r="H14" s="29">
        <f>SUMIFS(ActualData[Actual Spend (₹)],ActualData[Department],$A13,ActualData[Month],H$3)</f>
        <v>261000</v>
      </c>
      <c r="I14" s="29">
        <f>SUMIFS(ActualData[Actual Spend (₹)],ActualData[Department],$A13,ActualData[Month],I$3)</f>
        <v>255000</v>
      </c>
      <c r="J14" s="29">
        <f>SUMIFS(ActualData[Actual Spend (₹)],ActualData[Department],$A13,ActualData[Month],J$3)</f>
        <v>248000</v>
      </c>
      <c r="K14" s="29">
        <f>SUMIFS(ActualData[Actual Spend (₹)],ActualData[Department],$A13,ActualData[Month],K$3)</f>
        <v>241000</v>
      </c>
      <c r="L14" s="29">
        <f>SUMIFS(ActualData[Actual Spend (₹)],ActualData[Department],$A13,ActualData[Month],L$3)</f>
        <v>253000</v>
      </c>
      <c r="M14" s="29">
        <f>SUMIFS(ActualData[Actual Spend (₹)],ActualData[Department],$A13,ActualData[Month],M$3)</f>
        <v>267000</v>
      </c>
      <c r="N14" s="29">
        <f>SUMIFS(ActualData[Actual Spend (₹)],ActualData[Department],$A13,ActualData[Month],N$3)</f>
        <v>272000</v>
      </c>
      <c r="O14" s="28">
        <f t="shared" si="3"/>
        <v>3061000</v>
      </c>
      <c r="P14" s="5"/>
      <c r="Q14" s="5"/>
    </row>
    <row r="15" spans="1:17" ht="15" thickBot="1" x14ac:dyDescent="0.4">
      <c r="A15" s="59"/>
      <c r="B15" s="38" t="s">
        <v>122</v>
      </c>
      <c r="C15" s="39">
        <f>C14-C13</f>
        <v>13000</v>
      </c>
      <c r="D15" s="39">
        <f t="shared" ref="D15:N15" si="4">D14-D13</f>
        <v>-6000</v>
      </c>
      <c r="E15" s="39">
        <f t="shared" si="4"/>
        <v>8000</v>
      </c>
      <c r="F15" s="39">
        <f t="shared" si="4"/>
        <v>-3000</v>
      </c>
      <c r="G15" s="39">
        <f t="shared" si="4"/>
        <v>2000</v>
      </c>
      <c r="H15" s="39">
        <f t="shared" si="4"/>
        <v>11000</v>
      </c>
      <c r="I15" s="39">
        <f t="shared" si="4"/>
        <v>5000</v>
      </c>
      <c r="J15" s="39">
        <f t="shared" si="4"/>
        <v>-2000</v>
      </c>
      <c r="K15" s="39">
        <f t="shared" si="4"/>
        <v>-9000</v>
      </c>
      <c r="L15" s="39">
        <f t="shared" si="4"/>
        <v>3000</v>
      </c>
      <c r="M15" s="39">
        <f t="shared" si="4"/>
        <v>17000</v>
      </c>
      <c r="N15" s="39">
        <f t="shared" si="4"/>
        <v>22000</v>
      </c>
      <c r="O15" s="40">
        <f>O14-O13</f>
        <v>61000</v>
      </c>
      <c r="P15" s="43">
        <f>IF(O13=0,0,O15/O13)</f>
        <v>2.0333333333333332E-2</v>
      </c>
      <c r="Q15" s="42" t="str">
        <f>IF(P15&gt;0.1,"OVER BUDGET",IF(P15&gt;0.05,"WATCH",IF(P15&gt;=-0.05,"ON TRACK","UNDER BUDGET")))</f>
        <v>ON TRACK</v>
      </c>
    </row>
    <row r="16" spans="1:17" x14ac:dyDescent="0.35">
      <c r="A16" s="57" t="s">
        <v>34</v>
      </c>
      <c r="B16" s="35" t="s">
        <v>120</v>
      </c>
      <c r="C16" s="36">
        <f>ASSUMPTIONS!C8</f>
        <v>100000</v>
      </c>
      <c r="D16" s="36">
        <f>ASSUMPTIONS!D8</f>
        <v>100000</v>
      </c>
      <c r="E16" s="36">
        <f>ASSUMPTIONS!E8</f>
        <v>100000</v>
      </c>
      <c r="F16" s="36">
        <f>ASSUMPTIONS!F8</f>
        <v>100000</v>
      </c>
      <c r="G16" s="36">
        <f>ASSUMPTIONS!G8</f>
        <v>100000</v>
      </c>
      <c r="H16" s="36">
        <f>ASSUMPTIONS!H8</f>
        <v>100000</v>
      </c>
      <c r="I16" s="36">
        <f>ASSUMPTIONS!I8</f>
        <v>100000</v>
      </c>
      <c r="J16" s="36">
        <f>ASSUMPTIONS!J8</f>
        <v>100000</v>
      </c>
      <c r="K16" s="36">
        <f>ASSUMPTIONS!K8</f>
        <v>100000</v>
      </c>
      <c r="L16" s="36">
        <f>ASSUMPTIONS!L8</f>
        <v>100000</v>
      </c>
      <c r="M16" s="36">
        <f>ASSUMPTIONS!M8</f>
        <v>100000</v>
      </c>
      <c r="N16" s="36">
        <f>ASSUMPTIONS!N8</f>
        <v>100000</v>
      </c>
      <c r="O16" s="37">
        <f t="shared" si="3"/>
        <v>1200000</v>
      </c>
      <c r="P16" s="35"/>
      <c r="Q16" s="35"/>
    </row>
    <row r="17" spans="1:17" x14ac:dyDescent="0.35">
      <c r="A17" s="58"/>
      <c r="B17" s="5" t="s">
        <v>121</v>
      </c>
      <c r="C17" s="29">
        <f>SUMIFS(ActualData[Actual Spend (₹)],ActualData[Department],$A16,ActualData[Month],C$3)</f>
        <v>97000</v>
      </c>
      <c r="D17" s="29">
        <f>SUMIFS(ActualData[Actual Spend (₹)],ActualData[Department],$A16,ActualData[Month],D$3)</f>
        <v>104000</v>
      </c>
      <c r="E17" s="29">
        <f>SUMIFS(ActualData[Actual Spend (₹)],ActualData[Department],$A16,ActualData[Month],E$3)</f>
        <v>98000</v>
      </c>
      <c r="F17" s="29">
        <f>SUMIFS(ActualData[Actual Spend (₹)],ActualData[Department],$A16,ActualData[Month],F$3)</f>
        <v>101000</v>
      </c>
      <c r="G17" s="29">
        <f>SUMIFS(ActualData[Actual Spend (₹)],ActualData[Department],$A16,ActualData[Month],G$3)</f>
        <v>96000</v>
      </c>
      <c r="H17" s="29">
        <f>SUMIFS(ActualData[Actual Spend (₹)],ActualData[Department],$A16,ActualData[Month],H$3)</f>
        <v>99000</v>
      </c>
      <c r="I17" s="29">
        <f>SUMIFS(ActualData[Actual Spend (₹)],ActualData[Department],$A16,ActualData[Month],I$3)</f>
        <v>107000</v>
      </c>
      <c r="J17" s="29">
        <f>SUMIFS(ActualData[Actual Spend (₹)],ActualData[Department],$A16,ActualData[Month],J$3)</f>
        <v>103000</v>
      </c>
      <c r="K17" s="29">
        <f>SUMIFS(ActualData[Actual Spend (₹)],ActualData[Department],$A16,ActualData[Month],K$3)</f>
        <v>95000</v>
      </c>
      <c r="L17" s="29">
        <f>SUMIFS(ActualData[Actual Spend (₹)],ActualData[Department],$A16,ActualData[Month],L$3)</f>
        <v>111000</v>
      </c>
      <c r="M17" s="29">
        <f>SUMIFS(ActualData[Actual Spend (₹)],ActualData[Department],$A16,ActualData[Month],M$3)</f>
        <v>102000</v>
      </c>
      <c r="N17" s="29">
        <f>SUMIFS(ActualData[Actual Spend (₹)],ActualData[Department],$A16,ActualData[Month],N$3)</f>
        <v>109000</v>
      </c>
      <c r="O17" s="28">
        <f t="shared" si="3"/>
        <v>1222000</v>
      </c>
      <c r="P17" s="5"/>
      <c r="Q17" s="5"/>
    </row>
    <row r="18" spans="1:17" ht="15" thickBot="1" x14ac:dyDescent="0.4">
      <c r="A18" s="59"/>
      <c r="B18" s="38" t="s">
        <v>122</v>
      </c>
      <c r="C18" s="39">
        <f>C17-C16</f>
        <v>-3000</v>
      </c>
      <c r="D18" s="39">
        <f t="shared" ref="D18:N18" si="5">D17-D16</f>
        <v>4000</v>
      </c>
      <c r="E18" s="39">
        <f t="shared" si="5"/>
        <v>-2000</v>
      </c>
      <c r="F18" s="39">
        <f t="shared" si="5"/>
        <v>1000</v>
      </c>
      <c r="G18" s="39">
        <f t="shared" si="5"/>
        <v>-4000</v>
      </c>
      <c r="H18" s="39">
        <f t="shared" si="5"/>
        <v>-1000</v>
      </c>
      <c r="I18" s="39">
        <f t="shared" si="5"/>
        <v>7000</v>
      </c>
      <c r="J18" s="39">
        <f t="shared" si="5"/>
        <v>3000</v>
      </c>
      <c r="K18" s="39">
        <f t="shared" si="5"/>
        <v>-5000</v>
      </c>
      <c r="L18" s="39">
        <f t="shared" si="5"/>
        <v>11000</v>
      </c>
      <c r="M18" s="39">
        <f t="shared" si="5"/>
        <v>2000</v>
      </c>
      <c r="N18" s="39">
        <f t="shared" si="5"/>
        <v>9000</v>
      </c>
      <c r="O18" s="40">
        <f>O17-O16</f>
        <v>22000</v>
      </c>
      <c r="P18" s="43">
        <f>IF(O16=0,0,O18/O16)</f>
        <v>1.8333333333333333E-2</v>
      </c>
      <c r="Q18" s="42" t="str">
        <f>IF(P18&gt;0.1,"OVER BUDGET",IF(P18&gt;0.05,"WATCH",IF(P18&gt;=-0.05,"ON TRACK","UNDER BUDGET")))</f>
        <v>ON TRACK</v>
      </c>
    </row>
    <row r="19" spans="1:17" x14ac:dyDescent="0.35">
      <c r="A19" s="57" t="s">
        <v>35</v>
      </c>
      <c r="B19" s="35" t="s">
        <v>120</v>
      </c>
      <c r="C19" s="36">
        <f>ASSUMPTIONS!C9</f>
        <v>200000</v>
      </c>
      <c r="D19" s="36">
        <f>ASSUMPTIONS!D9</f>
        <v>200000</v>
      </c>
      <c r="E19" s="36">
        <f>ASSUMPTIONS!E9</f>
        <v>200000</v>
      </c>
      <c r="F19" s="36">
        <f>ASSUMPTIONS!F9</f>
        <v>200000</v>
      </c>
      <c r="G19" s="36">
        <f>ASSUMPTIONS!G9</f>
        <v>200000</v>
      </c>
      <c r="H19" s="36">
        <f>ASSUMPTIONS!H9</f>
        <v>200000</v>
      </c>
      <c r="I19" s="36">
        <f>ASSUMPTIONS!I9</f>
        <v>200000</v>
      </c>
      <c r="J19" s="36">
        <f>ASSUMPTIONS!J9</f>
        <v>200000</v>
      </c>
      <c r="K19" s="36">
        <f>ASSUMPTIONS!K9</f>
        <v>200000</v>
      </c>
      <c r="L19" s="36">
        <f>ASSUMPTIONS!L9</f>
        <v>200000</v>
      </c>
      <c r="M19" s="36">
        <f>ASSUMPTIONS!M9</f>
        <v>200000</v>
      </c>
      <c r="N19" s="36">
        <f>ASSUMPTIONS!N9</f>
        <v>200000</v>
      </c>
      <c r="O19" s="37">
        <f t="shared" si="3"/>
        <v>2400000</v>
      </c>
      <c r="P19" s="35"/>
      <c r="Q19" s="35"/>
    </row>
    <row r="20" spans="1:17" x14ac:dyDescent="0.35">
      <c r="A20" s="58"/>
      <c r="B20" s="5" t="s">
        <v>121</v>
      </c>
      <c r="C20" s="29">
        <f>SUMIFS(ActualData[Actual Spend (₹)],ActualData[Department],$A19,ActualData[Month],C$3)</f>
        <v>205000</v>
      </c>
      <c r="D20" s="29">
        <f>SUMIFS(ActualData[Actual Spend (₹)],ActualData[Department],$A19,ActualData[Month],D$3)</f>
        <v>196000</v>
      </c>
      <c r="E20" s="29">
        <f>SUMIFS(ActualData[Actual Spend (₹)],ActualData[Department],$A19,ActualData[Month],E$3)</f>
        <v>211000</v>
      </c>
      <c r="F20" s="29">
        <f>SUMIFS(ActualData[Actual Spend (₹)],ActualData[Department],$A19,ActualData[Month],F$3)</f>
        <v>223000</v>
      </c>
      <c r="G20" s="29">
        <f>SUMIFS(ActualData[Actual Spend (₹)],ActualData[Department],$A19,ActualData[Month],G$3)</f>
        <v>208000</v>
      </c>
      <c r="H20" s="29">
        <f>SUMIFS(ActualData[Actual Spend (₹)],ActualData[Department],$A19,ActualData[Month],H$3)</f>
        <v>197000</v>
      </c>
      <c r="I20" s="29">
        <f>SUMIFS(ActualData[Actual Spend (₹)],ActualData[Department],$A19,ActualData[Month],I$3)</f>
        <v>214000</v>
      </c>
      <c r="J20" s="29">
        <f>SUMIFS(ActualData[Actual Spend (₹)],ActualData[Department],$A19,ActualData[Month],J$3)</f>
        <v>219000</v>
      </c>
      <c r="K20" s="29">
        <f>SUMIFS(ActualData[Actual Spend (₹)],ActualData[Department],$A19,ActualData[Month],K$3)</f>
        <v>188000</v>
      </c>
      <c r="L20" s="29">
        <f>SUMIFS(ActualData[Actual Spend (₹)],ActualData[Department],$A19,ActualData[Month],L$3)</f>
        <v>207000</v>
      </c>
      <c r="M20" s="29">
        <f>SUMIFS(ActualData[Actual Spend (₹)],ActualData[Department],$A19,ActualData[Month],M$3)</f>
        <v>216000</v>
      </c>
      <c r="N20" s="29">
        <f>SUMIFS(ActualData[Actual Spend (₹)],ActualData[Department],$A19,ActualData[Month],N$3)</f>
        <v>221000</v>
      </c>
      <c r="O20" s="28">
        <f t="shared" si="3"/>
        <v>2505000</v>
      </c>
      <c r="P20" s="5"/>
      <c r="Q20" s="5"/>
    </row>
    <row r="21" spans="1:17" ht="15" thickBot="1" x14ac:dyDescent="0.4">
      <c r="A21" s="59"/>
      <c r="B21" s="38" t="s">
        <v>122</v>
      </c>
      <c r="C21" s="39">
        <f t="shared" ref="C21:N21" si="6">C20-C19</f>
        <v>5000</v>
      </c>
      <c r="D21" s="39">
        <f t="shared" si="6"/>
        <v>-4000</v>
      </c>
      <c r="E21" s="39">
        <f t="shared" si="6"/>
        <v>11000</v>
      </c>
      <c r="F21" s="39">
        <f t="shared" si="6"/>
        <v>23000</v>
      </c>
      <c r="G21" s="39">
        <f t="shared" si="6"/>
        <v>8000</v>
      </c>
      <c r="H21" s="39">
        <f t="shared" si="6"/>
        <v>-3000</v>
      </c>
      <c r="I21" s="39">
        <f t="shared" si="6"/>
        <v>14000</v>
      </c>
      <c r="J21" s="39">
        <f t="shared" si="6"/>
        <v>19000</v>
      </c>
      <c r="K21" s="39">
        <f t="shared" si="6"/>
        <v>-12000</v>
      </c>
      <c r="L21" s="39">
        <f t="shared" si="6"/>
        <v>7000</v>
      </c>
      <c r="M21" s="39">
        <f t="shared" si="6"/>
        <v>16000</v>
      </c>
      <c r="N21" s="39">
        <f t="shared" si="6"/>
        <v>21000</v>
      </c>
      <c r="O21" s="40">
        <f>O20-O19</f>
        <v>105000</v>
      </c>
      <c r="P21" s="41">
        <f>IF(O19=0,0,O21/O19)</f>
        <v>4.3749999999999997E-2</v>
      </c>
      <c r="Q21" s="42" t="str">
        <f>IF(P21&gt;0.1,"OVER BUDGET",IF(P21&gt;0.05,"WATCH",IF(P21&gt;=-0.05,"ON TRACK","UNDER BUDGET")))</f>
        <v>ON TRACK</v>
      </c>
    </row>
    <row r="22" spans="1:17" x14ac:dyDescent="0.3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</row>
    <row r="23" spans="1:17" x14ac:dyDescent="0.35">
      <c r="A23" s="60" t="s">
        <v>123</v>
      </c>
      <c r="B23" s="60"/>
      <c r="C23" s="31">
        <f>SUM(C4,C7,C10,C13,C16,C19)</f>
        <v>1400000</v>
      </c>
      <c r="D23" s="31">
        <f t="shared" ref="D23:N23" si="7">SUM(D4,D7,D10,D13,D16,D19)</f>
        <v>1400000</v>
      </c>
      <c r="E23" s="31">
        <f t="shared" si="7"/>
        <v>1400000</v>
      </c>
      <c r="F23" s="31">
        <f t="shared" si="7"/>
        <v>1400000</v>
      </c>
      <c r="G23" s="31">
        <f t="shared" si="7"/>
        <v>1400000</v>
      </c>
      <c r="H23" s="31">
        <f t="shared" si="7"/>
        <v>1400000</v>
      </c>
      <c r="I23" s="31">
        <f t="shared" si="7"/>
        <v>1400000</v>
      </c>
      <c r="J23" s="31">
        <f t="shared" si="7"/>
        <v>1400000</v>
      </c>
      <c r="K23" s="31">
        <f t="shared" si="7"/>
        <v>1400000</v>
      </c>
      <c r="L23" s="31">
        <f t="shared" si="7"/>
        <v>1400000</v>
      </c>
      <c r="M23" s="31">
        <f t="shared" si="7"/>
        <v>1400000</v>
      </c>
      <c r="N23" s="31">
        <f t="shared" si="7"/>
        <v>1400000</v>
      </c>
      <c r="O23" s="31">
        <f>SUM(O4,O7,O10,O13,O16,O19)</f>
        <v>16800000</v>
      </c>
      <c r="P23" s="5"/>
      <c r="Q23" s="5"/>
    </row>
    <row r="24" spans="1:17" x14ac:dyDescent="0.35">
      <c r="A24" s="5"/>
      <c r="B24" s="5"/>
      <c r="C24" s="5">
        <f>SUM(C5,C8,C11,C14,C17,C20)</f>
        <v>1593000</v>
      </c>
      <c r="D24" s="5">
        <f t="shared" ref="D24:N24" si="8">SUM(D5,D8,D11,D14,D17,D20)</f>
        <v>1480000</v>
      </c>
      <c r="E24" s="5">
        <f t="shared" si="8"/>
        <v>1493000</v>
      </c>
      <c r="F24" s="5">
        <f t="shared" si="8"/>
        <v>1454000</v>
      </c>
      <c r="G24" s="5">
        <f t="shared" si="8"/>
        <v>1474000</v>
      </c>
      <c r="H24" s="5">
        <f t="shared" si="8"/>
        <v>1519000</v>
      </c>
      <c r="I24" s="5">
        <f t="shared" si="8"/>
        <v>1476000</v>
      </c>
      <c r="J24" s="5">
        <f t="shared" si="8"/>
        <v>1420000</v>
      </c>
      <c r="K24" s="5">
        <f t="shared" si="8"/>
        <v>1312000</v>
      </c>
      <c r="L24" s="5">
        <f t="shared" si="8"/>
        <v>1439000</v>
      </c>
      <c r="M24" s="5">
        <f t="shared" si="8"/>
        <v>1483000</v>
      </c>
      <c r="N24" s="5">
        <f t="shared" si="8"/>
        <v>1526000</v>
      </c>
      <c r="O24" s="31">
        <f>SUM(O5,O8,O11,O14,O17,O20)</f>
        <v>17669000</v>
      </c>
      <c r="P24" s="5"/>
      <c r="Q24" s="5"/>
    </row>
    <row r="25" spans="1:17" x14ac:dyDescent="0.35">
      <c r="A25" s="5"/>
      <c r="B25" s="5"/>
      <c r="C25" s="31">
        <f>C24-C23</f>
        <v>193000</v>
      </c>
      <c r="D25" s="31">
        <f t="shared" ref="D25:N25" si="9">D24-D23</f>
        <v>80000</v>
      </c>
      <c r="E25" s="31">
        <f t="shared" si="9"/>
        <v>93000</v>
      </c>
      <c r="F25" s="31">
        <f t="shared" si="9"/>
        <v>54000</v>
      </c>
      <c r="G25" s="31">
        <f t="shared" si="9"/>
        <v>74000</v>
      </c>
      <c r="H25" s="31">
        <f t="shared" si="9"/>
        <v>119000</v>
      </c>
      <c r="I25" s="31">
        <f t="shared" si="9"/>
        <v>76000</v>
      </c>
      <c r="J25" s="31">
        <f t="shared" si="9"/>
        <v>20000</v>
      </c>
      <c r="K25" s="31">
        <f t="shared" si="9"/>
        <v>-88000</v>
      </c>
      <c r="L25" s="31">
        <f t="shared" si="9"/>
        <v>39000</v>
      </c>
      <c r="M25" s="31">
        <f t="shared" si="9"/>
        <v>83000</v>
      </c>
      <c r="N25" s="31">
        <f t="shared" si="9"/>
        <v>126000</v>
      </c>
      <c r="O25" s="31">
        <f>O24-O23</f>
        <v>869000</v>
      </c>
      <c r="P25" s="5"/>
      <c r="Q25" s="5"/>
    </row>
  </sheetData>
  <mergeCells count="8">
    <mergeCell ref="A19:A21"/>
    <mergeCell ref="A23:B23"/>
    <mergeCell ref="A1:Q1"/>
    <mergeCell ref="A4:A6"/>
    <mergeCell ref="A7:A9"/>
    <mergeCell ref="A10:A12"/>
    <mergeCell ref="A13:A15"/>
    <mergeCell ref="A16:A18"/>
  </mergeCells>
  <conditionalFormatting sqref="C6:N6">
    <cfRule type="cellIs" dxfId="38" priority="125" operator="lessThan">
      <formula>0</formula>
    </cfRule>
    <cfRule type="cellIs" dxfId="37" priority="126" operator="greaterThan">
      <formula>0</formula>
    </cfRule>
    <cfRule type="cellIs" dxfId="36" priority="127" operator="lessThan">
      <formula>0</formula>
    </cfRule>
  </conditionalFormatting>
  <conditionalFormatting sqref="C9:N9">
    <cfRule type="cellIs" dxfId="35" priority="123" operator="lessThan">
      <formula>0</formula>
    </cfRule>
    <cfRule type="cellIs" dxfId="34" priority="124" operator="greaterThan">
      <formula>0</formula>
    </cfRule>
  </conditionalFormatting>
  <conditionalFormatting sqref="C15:N15">
    <cfRule type="cellIs" dxfId="33" priority="67" operator="lessThan">
      <formula>0</formula>
    </cfRule>
    <cfRule type="cellIs" dxfId="32" priority="68" operator="greaterThan">
      <formula>0</formula>
    </cfRule>
  </conditionalFormatting>
  <conditionalFormatting sqref="C18:N18">
    <cfRule type="cellIs" dxfId="31" priority="53" operator="lessThan">
      <formula>0</formula>
    </cfRule>
    <cfRule type="cellIs" dxfId="30" priority="54" operator="greaterThan">
      <formula>0</formula>
    </cfRule>
  </conditionalFormatting>
  <conditionalFormatting sqref="C21:N21">
    <cfRule type="cellIs" dxfId="29" priority="1" operator="lessThan">
      <formula>0</formula>
    </cfRule>
    <cfRule type="cellIs" dxfId="28" priority="2" operator="greaterThan">
      <formula>0</formula>
    </cfRule>
  </conditionalFormatting>
  <conditionalFormatting sqref="D12:N12">
    <cfRule type="cellIs" dxfId="27" priority="83" operator="lessThan">
      <formula>0</formula>
    </cfRule>
    <cfRule type="cellIs" dxfId="26" priority="84" operator="greaterThan">
      <formula>0</formula>
    </cfRule>
  </conditionalFormatting>
  <conditionalFormatting sqref="Q6">
    <cfRule type="containsText" dxfId="25" priority="49" operator="containsText" text="UNDER BUDGET">
      <formula>NOT(ISERROR(SEARCH("UNDER BUDGET",Q6)))</formula>
    </cfRule>
    <cfRule type="containsText" dxfId="24" priority="50" operator="containsText" text="ON TRACK">
      <formula>NOT(ISERROR(SEARCH("ON TRACK",Q6)))</formula>
    </cfRule>
    <cfRule type="containsText" dxfId="23" priority="51" operator="containsText" text="WATCH">
      <formula>NOT(ISERROR(SEARCH("WATCH",Q6)))</formula>
    </cfRule>
    <cfRule type="containsText" dxfId="22" priority="52" operator="containsText" text="OVER BUDGET">
      <formula>NOT(ISERROR(SEARCH("OVER BUDGET",Q6)))</formula>
    </cfRule>
  </conditionalFormatting>
  <conditionalFormatting sqref="Q9">
    <cfRule type="containsText" dxfId="21" priority="45" operator="containsText" text="UNDER BUDGET">
      <formula>NOT(ISERROR(SEARCH("UNDER BUDGET",Q9)))</formula>
    </cfRule>
    <cfRule type="containsText" dxfId="20" priority="46" operator="containsText" text="ON TRACK">
      <formula>NOT(ISERROR(SEARCH("ON TRACK",Q9)))</formula>
    </cfRule>
    <cfRule type="containsText" dxfId="19" priority="47" operator="containsText" text="WATCH">
      <formula>NOT(ISERROR(SEARCH("WATCH",Q9)))</formula>
    </cfRule>
    <cfRule type="containsText" dxfId="18" priority="48" operator="containsText" text="OVER BUDGET">
      <formula>NOT(ISERROR(SEARCH("OVER BUDGET",Q9)))</formula>
    </cfRule>
  </conditionalFormatting>
  <conditionalFormatting sqref="Q12">
    <cfRule type="containsText" dxfId="17" priority="41" operator="containsText" text="UNDER BUDGET">
      <formula>NOT(ISERROR(SEARCH("UNDER BUDGET",Q12)))</formula>
    </cfRule>
    <cfRule type="containsText" dxfId="16" priority="42" operator="containsText" text="ON TRACK">
      <formula>NOT(ISERROR(SEARCH("ON TRACK",Q12)))</formula>
    </cfRule>
    <cfRule type="containsText" dxfId="15" priority="43" operator="containsText" text="WATCH">
      <formula>NOT(ISERROR(SEARCH("WATCH",Q12)))</formula>
    </cfRule>
    <cfRule type="containsText" dxfId="14" priority="44" operator="containsText" text="OVER BUDGET">
      <formula>NOT(ISERROR(SEARCH("OVER BUDGET",Q12)))</formula>
    </cfRule>
  </conditionalFormatting>
  <conditionalFormatting sqref="Q15">
    <cfRule type="containsText" dxfId="13" priority="37" operator="containsText" text="UNDER BUDGET">
      <formula>NOT(ISERROR(SEARCH("UNDER BUDGET",Q15)))</formula>
    </cfRule>
    <cfRule type="containsText" dxfId="12" priority="38" operator="containsText" text="ON TRACK">
      <formula>NOT(ISERROR(SEARCH("ON TRACK",Q15)))</formula>
    </cfRule>
    <cfRule type="containsText" dxfId="11" priority="39" operator="containsText" text="WATCH">
      <formula>NOT(ISERROR(SEARCH("WATCH",Q15)))</formula>
    </cfRule>
    <cfRule type="containsText" dxfId="10" priority="40" operator="containsText" text="OVER BUDGET">
      <formula>NOT(ISERROR(SEARCH("OVER BUDGET",Q15)))</formula>
    </cfRule>
  </conditionalFormatting>
  <conditionalFormatting sqref="Q18">
    <cfRule type="containsText" dxfId="9" priority="33" operator="containsText" text="UNDER BUDGET">
      <formula>NOT(ISERROR(SEARCH("UNDER BUDGET",Q18)))</formula>
    </cfRule>
    <cfRule type="containsText" dxfId="8" priority="34" operator="containsText" text="ON TRACK">
      <formula>NOT(ISERROR(SEARCH("ON TRACK",Q18)))</formula>
    </cfRule>
    <cfRule type="containsText" dxfId="7" priority="35" operator="containsText" text="WATCH">
      <formula>NOT(ISERROR(SEARCH("WATCH",Q18)))</formula>
    </cfRule>
    <cfRule type="containsText" dxfId="6" priority="36" operator="containsText" text="OVER BUDGET">
      <formula>NOT(ISERROR(SEARCH("OVER BUDGET",Q18)))</formula>
    </cfRule>
  </conditionalFormatting>
  <conditionalFormatting sqref="Q21">
    <cfRule type="containsText" dxfId="5" priority="25" operator="containsText" text="UNDER BUDGET">
      <formula>NOT(ISERROR(SEARCH("UNDER BUDGET",Q21)))</formula>
    </cfRule>
    <cfRule type="containsText" dxfId="4" priority="26" operator="containsText" text="ON TRACK">
      <formula>NOT(ISERROR(SEARCH("ON TRACK",Q21)))</formula>
    </cfRule>
    <cfRule type="containsText" dxfId="3" priority="27" operator="containsText" text="WATCH">
      <formula>NOT(ISERROR(SEARCH("WATCH",Q21)))</formula>
    </cfRule>
    <cfRule type="containsText" dxfId="2" priority="28" operator="containsText" text="OVER BUDGET">
      <formula>NOT(ISERROR(SEARCH("OVER BUDGET",Q21)))</formula>
    </cfRule>
  </conditionalFormatting>
  <pageMargins left="0.25" right="0.25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6852-4EF1-4BBB-AB5E-2E9153BC6D2E}">
  <sheetPr>
    <tabColor theme="9"/>
  </sheetPr>
  <dimension ref="B1:R62"/>
  <sheetViews>
    <sheetView showGridLines="0" topLeftCell="C46" zoomScale="64" zoomScaleNormal="57" workbookViewId="0">
      <selection activeCell="G64" sqref="G64"/>
    </sheetView>
  </sheetViews>
  <sheetFormatPr defaultRowHeight="14.5" x14ac:dyDescent="0.35"/>
  <cols>
    <col min="1" max="1" width="2.6328125" customWidth="1"/>
    <col min="2" max="6" width="14.6328125" customWidth="1"/>
    <col min="7" max="7" width="16.1796875" customWidth="1"/>
    <col min="8" max="13" width="14.6328125" customWidth="1"/>
    <col min="14" max="14" width="2.6328125" customWidth="1"/>
    <col min="16" max="16" width="19.7265625" customWidth="1"/>
    <col min="17" max="17" width="10.36328125" bestFit="1" customWidth="1"/>
  </cols>
  <sheetData>
    <row r="1" spans="2:18" ht="30" customHeight="1" x14ac:dyDescent="0.35">
      <c r="B1" s="80" t="s">
        <v>124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2:18" ht="30" customHeight="1" x14ac:dyDescent="0.35"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2:18" ht="20" customHeight="1" x14ac:dyDescent="0.35">
      <c r="B3" s="81" t="s">
        <v>125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P3" s="132" t="s">
        <v>42</v>
      </c>
      <c r="Q3" s="132" t="s">
        <v>134</v>
      </c>
      <c r="R3" s="132"/>
    </row>
    <row r="4" spans="2:18" ht="18" customHeight="1" thickBot="1" x14ac:dyDescent="0.4">
      <c r="P4" s="132" t="s">
        <v>37</v>
      </c>
      <c r="Q4" s="132">
        <f>CALCULATIONS!P6</f>
        <v>5.1458333333333335E-2</v>
      </c>
      <c r="R4" s="132"/>
    </row>
    <row r="5" spans="2:18" ht="18" customHeight="1" x14ac:dyDescent="0.35">
      <c r="B5" s="82" t="s">
        <v>126</v>
      </c>
      <c r="C5" s="83"/>
      <c r="D5" s="84"/>
      <c r="E5" s="97" t="s">
        <v>128</v>
      </c>
      <c r="F5" s="98"/>
      <c r="G5" s="99"/>
      <c r="H5" s="69" t="s">
        <v>130</v>
      </c>
      <c r="I5" s="70"/>
      <c r="J5" s="106"/>
      <c r="K5" s="114" t="s">
        <v>132</v>
      </c>
      <c r="L5" s="115"/>
      <c r="M5" s="116"/>
      <c r="P5" s="132" t="s">
        <v>33</v>
      </c>
      <c r="Q5" s="132">
        <f>CALCULATIONS!P9</f>
        <v>6.8611111111111109E-2</v>
      </c>
      <c r="R5" s="132"/>
    </row>
    <row r="6" spans="2:18" ht="18" customHeight="1" x14ac:dyDescent="0.35">
      <c r="B6" s="85"/>
      <c r="C6" s="86"/>
      <c r="D6" s="87"/>
      <c r="E6" s="100"/>
      <c r="F6" s="101"/>
      <c r="G6" s="102"/>
      <c r="H6" s="71"/>
      <c r="I6" s="72"/>
      <c r="J6" s="107"/>
      <c r="K6" s="117"/>
      <c r="L6" s="111"/>
      <c r="M6" s="118"/>
      <c r="P6" s="132" t="s">
        <v>30</v>
      </c>
      <c r="Q6" s="132">
        <f>CALCULATIONS!P12</f>
        <v>0.10388888888888889</v>
      </c>
      <c r="R6" s="132"/>
    </row>
    <row r="7" spans="2:18" ht="18" customHeight="1" x14ac:dyDescent="0.35">
      <c r="B7" s="85"/>
      <c r="C7" s="86"/>
      <c r="D7" s="87"/>
      <c r="E7" s="100"/>
      <c r="F7" s="101"/>
      <c r="G7" s="102"/>
      <c r="H7" s="71"/>
      <c r="I7" s="72"/>
      <c r="J7" s="107"/>
      <c r="K7" s="117"/>
      <c r="L7" s="111"/>
      <c r="M7" s="118"/>
      <c r="P7" s="132" t="s">
        <v>31</v>
      </c>
      <c r="Q7" s="132">
        <f>CALCULATIONS!P15</f>
        <v>2.0333333333333332E-2</v>
      </c>
      <c r="R7" s="132"/>
    </row>
    <row r="8" spans="2:18" ht="18" customHeight="1" x14ac:dyDescent="0.35">
      <c r="B8" s="88">
        <f>CALCULATIONS!O23</f>
        <v>16800000</v>
      </c>
      <c r="C8" s="89"/>
      <c r="D8" s="90"/>
      <c r="E8" s="103">
        <f>CALCULATIONS!O24</f>
        <v>17669000</v>
      </c>
      <c r="F8" s="104"/>
      <c r="G8" s="105"/>
      <c r="H8" s="73">
        <f>CALCULATIONS!O25</f>
        <v>869000</v>
      </c>
      <c r="I8" s="74"/>
      <c r="J8" s="108"/>
      <c r="K8" s="119">
        <f>CALCULATIONS!O25/CALCULATIONS!O23</f>
        <v>5.1726190476190474E-2</v>
      </c>
      <c r="L8" s="112"/>
      <c r="M8" s="120"/>
      <c r="P8" s="132" t="s">
        <v>34</v>
      </c>
      <c r="Q8" s="132">
        <f>CALCULATIONS!P18</f>
        <v>1.8333333333333333E-2</v>
      </c>
      <c r="R8" s="132"/>
    </row>
    <row r="9" spans="2:18" ht="18" customHeight="1" x14ac:dyDescent="0.35">
      <c r="B9" s="88"/>
      <c r="C9" s="89"/>
      <c r="D9" s="90"/>
      <c r="E9" s="103"/>
      <c r="F9" s="104"/>
      <c r="G9" s="105"/>
      <c r="H9" s="73"/>
      <c r="I9" s="74"/>
      <c r="J9" s="108"/>
      <c r="K9" s="119"/>
      <c r="L9" s="112"/>
      <c r="M9" s="120"/>
      <c r="P9" s="132" t="s">
        <v>135</v>
      </c>
      <c r="Q9" s="132">
        <f>CALCULATIONS!P21</f>
        <v>4.3749999999999997E-2</v>
      </c>
      <c r="R9" s="132"/>
    </row>
    <row r="10" spans="2:18" ht="18" customHeight="1" x14ac:dyDescent="0.35">
      <c r="B10" s="88"/>
      <c r="C10" s="89"/>
      <c r="D10" s="90"/>
      <c r="E10" s="103"/>
      <c r="F10" s="104"/>
      <c r="G10" s="105"/>
      <c r="H10" s="73"/>
      <c r="I10" s="74"/>
      <c r="J10" s="108"/>
      <c r="K10" s="119"/>
      <c r="L10" s="112"/>
      <c r="M10" s="120"/>
      <c r="P10" s="132"/>
      <c r="Q10" s="132"/>
      <c r="R10" s="132"/>
    </row>
    <row r="11" spans="2:18" ht="18" customHeight="1" x14ac:dyDescent="0.35">
      <c r="B11" s="91" t="s">
        <v>127</v>
      </c>
      <c r="C11" s="92"/>
      <c r="D11" s="93"/>
      <c r="E11" s="63" t="s">
        <v>129</v>
      </c>
      <c r="F11" s="64"/>
      <c r="G11" s="65"/>
      <c r="H11" s="75" t="s">
        <v>131</v>
      </c>
      <c r="I11" s="76"/>
      <c r="J11" s="109"/>
      <c r="K11" s="121" t="s">
        <v>133</v>
      </c>
      <c r="L11" s="113"/>
      <c r="M11" s="122"/>
      <c r="P11" s="132"/>
      <c r="Q11" s="132"/>
      <c r="R11" s="132"/>
    </row>
    <row r="12" spans="2:18" ht="18" customHeight="1" thickBot="1" x14ac:dyDescent="0.4">
      <c r="B12" s="94"/>
      <c r="C12" s="95"/>
      <c r="D12" s="96"/>
      <c r="E12" s="66"/>
      <c r="F12" s="67"/>
      <c r="G12" s="68"/>
      <c r="H12" s="77"/>
      <c r="I12" s="78"/>
      <c r="J12" s="110"/>
      <c r="K12" s="123"/>
      <c r="L12" s="124"/>
      <c r="M12" s="125"/>
      <c r="P12" s="132" t="s">
        <v>136</v>
      </c>
      <c r="Q12" s="132" t="s">
        <v>137</v>
      </c>
      <c r="R12" s="132" t="s">
        <v>138</v>
      </c>
    </row>
    <row r="13" spans="2:18" ht="18" customHeight="1" x14ac:dyDescent="0.35">
      <c r="P13" s="133">
        <v>45383</v>
      </c>
      <c r="Q13" s="134">
        <f>CALCULATIONS!C23</f>
        <v>1400000</v>
      </c>
      <c r="R13" s="132">
        <f>CALCULATIONS!C24</f>
        <v>1593000</v>
      </c>
    </row>
    <row r="14" spans="2:18" ht="18" customHeight="1" x14ac:dyDescent="0.35">
      <c r="P14" s="133">
        <v>45413</v>
      </c>
      <c r="Q14" s="134">
        <f>CALCULATIONS!D23</f>
        <v>1400000</v>
      </c>
      <c r="R14" s="132">
        <f>CALCULATIONS!D24</f>
        <v>1480000</v>
      </c>
    </row>
    <row r="15" spans="2:18" ht="18" customHeight="1" x14ac:dyDescent="0.35">
      <c r="P15" s="133">
        <v>45444</v>
      </c>
      <c r="Q15" s="134">
        <f>CALCULATIONS!E23</f>
        <v>1400000</v>
      </c>
      <c r="R15" s="132">
        <f>CALCULATIONS!E24</f>
        <v>1493000</v>
      </c>
    </row>
    <row r="16" spans="2:18" ht="18" customHeight="1" x14ac:dyDescent="0.35">
      <c r="P16" s="133">
        <v>45474</v>
      </c>
      <c r="Q16" s="134">
        <f>CALCULATIONS!F23</f>
        <v>1400000</v>
      </c>
      <c r="R16" s="132">
        <f>CALCULATIONS!F24</f>
        <v>1454000</v>
      </c>
    </row>
    <row r="17" spans="2:18" ht="18" customHeight="1" x14ac:dyDescent="0.35">
      <c r="P17" s="133">
        <v>45505</v>
      </c>
      <c r="Q17" s="134">
        <f>CALCULATIONS!G23</f>
        <v>1400000</v>
      </c>
      <c r="R17" s="132">
        <f>CALCULATIONS!G24</f>
        <v>1474000</v>
      </c>
    </row>
    <row r="18" spans="2:18" ht="18" customHeight="1" x14ac:dyDescent="0.35">
      <c r="P18" s="133">
        <v>45536</v>
      </c>
      <c r="Q18" s="134">
        <f>CALCULATIONS!H23</f>
        <v>1400000</v>
      </c>
      <c r="R18" s="132">
        <f>CALCULATIONS!H24</f>
        <v>1519000</v>
      </c>
    </row>
    <row r="19" spans="2:18" ht="18" customHeight="1" x14ac:dyDescent="0.35">
      <c r="P19" s="133">
        <v>45566</v>
      </c>
      <c r="Q19" s="134">
        <f>CALCULATIONS!I23</f>
        <v>1400000</v>
      </c>
      <c r="R19" s="132">
        <f>CALCULATIONS!I24</f>
        <v>1476000</v>
      </c>
    </row>
    <row r="20" spans="2:18" ht="18" customHeight="1" x14ac:dyDescent="0.35">
      <c r="P20" s="133">
        <v>45597</v>
      </c>
      <c r="Q20" s="134">
        <f>CALCULATIONS!J23</f>
        <v>1400000</v>
      </c>
      <c r="R20" s="132">
        <f>CALCULATIONS!J24</f>
        <v>1420000</v>
      </c>
    </row>
    <row r="21" spans="2:18" ht="18" customHeight="1" x14ac:dyDescent="0.35">
      <c r="P21" s="133">
        <v>45627</v>
      </c>
      <c r="Q21" s="134">
        <f>CALCULATIONS!K23</f>
        <v>1400000</v>
      </c>
      <c r="R21" s="132">
        <f>CALCULATIONS!K24</f>
        <v>1312000</v>
      </c>
    </row>
    <row r="22" spans="2:18" ht="18" customHeight="1" x14ac:dyDescent="0.35">
      <c r="P22" s="133">
        <v>45658</v>
      </c>
      <c r="Q22" s="134">
        <f>CALCULATIONS!L23</f>
        <v>1400000</v>
      </c>
      <c r="R22" s="132">
        <f>CALCULATIONS!L24</f>
        <v>1439000</v>
      </c>
    </row>
    <row r="23" spans="2:18" ht="18" customHeight="1" x14ac:dyDescent="0.35">
      <c r="P23" s="133">
        <v>45689</v>
      </c>
      <c r="Q23" s="134">
        <f>CALCULATIONS!M23</f>
        <v>1400000</v>
      </c>
      <c r="R23" s="132">
        <f>CALCULATIONS!M24</f>
        <v>1483000</v>
      </c>
    </row>
    <row r="24" spans="2:18" ht="18" customHeight="1" x14ac:dyDescent="0.35">
      <c r="P24" s="133">
        <v>45717</v>
      </c>
      <c r="Q24" s="134">
        <f>CALCULATIONS!N23</f>
        <v>1400000</v>
      </c>
      <c r="R24" s="132">
        <f>CALCULATIONS!N24</f>
        <v>1526000</v>
      </c>
    </row>
    <row r="25" spans="2:18" ht="18" customHeight="1" x14ac:dyDescent="0.35">
      <c r="P25" s="132"/>
      <c r="Q25" s="132"/>
      <c r="R25" s="132"/>
    </row>
    <row r="26" spans="2:18" ht="18" customHeight="1" x14ac:dyDescent="0.35"/>
    <row r="27" spans="2:18" ht="18" customHeight="1" x14ac:dyDescent="0.35"/>
    <row r="28" spans="2:18" ht="18" customHeight="1" x14ac:dyDescent="0.35"/>
    <row r="29" spans="2:18" ht="18" customHeight="1" x14ac:dyDescent="0.35"/>
    <row r="30" spans="2:18" ht="18" customHeight="1" x14ac:dyDescent="0.35">
      <c r="B30" s="5" t="s">
        <v>42</v>
      </c>
      <c r="C30" s="5" t="s">
        <v>139</v>
      </c>
      <c r="D30" s="5" t="s">
        <v>140</v>
      </c>
      <c r="E30" s="5" t="s">
        <v>141</v>
      </c>
      <c r="F30" s="5" t="s">
        <v>142</v>
      </c>
      <c r="G30" s="5" t="s">
        <v>119</v>
      </c>
    </row>
    <row r="31" spans="2:18" ht="18" customHeight="1" x14ac:dyDescent="0.35">
      <c r="B31" s="5" t="s">
        <v>37</v>
      </c>
      <c r="C31" s="126">
        <f>CALCULATIONS!O4</f>
        <v>4800000</v>
      </c>
      <c r="D31" s="126">
        <f>CALCULATIONS!O5</f>
        <v>5047000</v>
      </c>
      <c r="E31" s="126">
        <f>CALCULATIONS!O6</f>
        <v>247000</v>
      </c>
      <c r="F31" s="127">
        <f>CALCULATIONS!P6</f>
        <v>5.1458333333333335E-2</v>
      </c>
      <c r="G31" s="128" t="str">
        <f>CALCULATIONS!Q6</f>
        <v>WATCH</v>
      </c>
    </row>
    <row r="32" spans="2:18" ht="18" customHeight="1" x14ac:dyDescent="0.35">
      <c r="B32" s="5" t="s">
        <v>33</v>
      </c>
      <c r="C32" s="126">
        <f>CALCULATIONS!O7</f>
        <v>3600000</v>
      </c>
      <c r="D32" s="126">
        <f>CALCULATIONS!O8</f>
        <v>3847000</v>
      </c>
      <c r="E32" s="126">
        <f>CALCULATIONS!O9</f>
        <v>247000</v>
      </c>
      <c r="F32" s="127">
        <f>CALCULATIONS!P9</f>
        <v>6.8611111111111109E-2</v>
      </c>
      <c r="G32" s="128" t="str">
        <f>CALCULATIONS!Q9</f>
        <v>WATCH</v>
      </c>
    </row>
    <row r="33" spans="2:7" ht="18" customHeight="1" x14ac:dyDescent="0.35">
      <c r="B33" s="5" t="s">
        <v>30</v>
      </c>
      <c r="C33" s="126">
        <f>CALCULATIONS!O10</f>
        <v>1800000</v>
      </c>
      <c r="D33" s="126">
        <f>CALCULATIONS!O11</f>
        <v>1987000</v>
      </c>
      <c r="E33" s="126">
        <f>CALCULATIONS!O12</f>
        <v>187000</v>
      </c>
      <c r="F33" s="127">
        <f>CALCULATIONS!P12</f>
        <v>0.10388888888888889</v>
      </c>
      <c r="G33" s="129" t="str">
        <f>CALCULATIONS!Q12</f>
        <v>OVER BUDGET</v>
      </c>
    </row>
    <row r="34" spans="2:7" ht="18" customHeight="1" x14ac:dyDescent="0.35">
      <c r="B34" s="5" t="s">
        <v>31</v>
      </c>
      <c r="C34" s="126">
        <f>CALCULATIONS!O13</f>
        <v>3000000</v>
      </c>
      <c r="D34" s="126">
        <f>CALCULATIONS!O14</f>
        <v>3061000</v>
      </c>
      <c r="E34" s="126">
        <f>CALCULATIONS!O15</f>
        <v>61000</v>
      </c>
      <c r="F34" s="127">
        <f>CALCULATIONS!P15</f>
        <v>2.0333333333333332E-2</v>
      </c>
      <c r="G34" s="130" t="str">
        <f>CALCULATIONS!Q15</f>
        <v>ON TRACK</v>
      </c>
    </row>
    <row r="35" spans="2:7" ht="18" customHeight="1" x14ac:dyDescent="0.35">
      <c r="B35" s="5" t="s">
        <v>34</v>
      </c>
      <c r="C35" s="126">
        <f>CALCULATIONS!O16</f>
        <v>1200000</v>
      </c>
      <c r="D35" s="126">
        <f>CALCULATIONS!O17</f>
        <v>1222000</v>
      </c>
      <c r="E35" s="126">
        <f>CALCULATIONS!O18</f>
        <v>22000</v>
      </c>
      <c r="F35" s="127">
        <f>CALCULATIONS!P18</f>
        <v>1.8333333333333333E-2</v>
      </c>
      <c r="G35" s="130" t="str">
        <f>CALCULATIONS!Q18</f>
        <v>ON TRACK</v>
      </c>
    </row>
    <row r="36" spans="2:7" ht="18" customHeight="1" x14ac:dyDescent="0.35">
      <c r="B36" s="5" t="s">
        <v>35</v>
      </c>
      <c r="C36" s="126">
        <f>CALCULATIONS!O19</f>
        <v>2400000</v>
      </c>
      <c r="D36" s="126">
        <f>CALCULATIONS!O20</f>
        <v>2505000</v>
      </c>
      <c r="E36" s="126">
        <f>CALCULATIONS!O21</f>
        <v>105000</v>
      </c>
      <c r="F36" s="127">
        <f>CALCULATIONS!P21</f>
        <v>4.3749999999999997E-2</v>
      </c>
      <c r="G36" s="130" t="str">
        <f>CALCULATIONS!Q21</f>
        <v>ON TRACK</v>
      </c>
    </row>
    <row r="37" spans="2:7" ht="18" customHeight="1" x14ac:dyDescent="0.35"/>
    <row r="38" spans="2:7" ht="18" customHeight="1" x14ac:dyDescent="0.35"/>
    <row r="39" spans="2:7" ht="18" customHeight="1" x14ac:dyDescent="0.35"/>
    <row r="40" spans="2:7" ht="18" customHeight="1" x14ac:dyDescent="0.35"/>
    <row r="62" spans="2:13" x14ac:dyDescent="0.35">
      <c r="B62" s="131" t="s">
        <v>143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</row>
  </sheetData>
  <mergeCells count="15">
    <mergeCell ref="B62:M62"/>
    <mergeCell ref="B1:M2"/>
    <mergeCell ref="B3:M3"/>
    <mergeCell ref="B5:D7"/>
    <mergeCell ref="B8:D10"/>
    <mergeCell ref="B11:D12"/>
    <mergeCell ref="E5:G7"/>
    <mergeCell ref="E8:G10"/>
    <mergeCell ref="K8:M10"/>
    <mergeCell ref="K11:M12"/>
    <mergeCell ref="E11:G12"/>
    <mergeCell ref="H5:J7"/>
    <mergeCell ref="H8:J10"/>
    <mergeCell ref="H11:J12"/>
    <mergeCell ref="K5:M7"/>
  </mergeCells>
  <conditionalFormatting sqref="H8:J10">
    <cfRule type="cellIs" dxfId="1" priority="1" operator="lessThan">
      <formula>0</formula>
    </cfRule>
    <cfRule type="cellIs" dxfId="0" priority="2" operator="greaterThan">
      <formula>0</formula>
    </cfRule>
  </conditionalFormatting>
  <pageMargins left="0.25" right="0.25" top="0.75" bottom="0.75" header="0.3" footer="0.3"/>
  <pageSetup orientation="landscape" r:id="rId1"/>
  <headerFooter>
    <oddFooter>&amp;A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842B-C3A8-4D6E-A584-D955779F22F5}">
  <sheetPr>
    <tabColor rgb="FFFFFF00"/>
  </sheetPr>
  <dimension ref="A1:F5"/>
  <sheetViews>
    <sheetView tabSelected="1" zoomScale="110" workbookViewId="0">
      <selection activeCell="H9" sqref="H9"/>
    </sheetView>
  </sheetViews>
  <sheetFormatPr defaultRowHeight="14.5" x14ac:dyDescent="0.35"/>
  <sheetData>
    <row r="1" spans="1:6" x14ac:dyDescent="0.35">
      <c r="A1" s="135" t="s">
        <v>144</v>
      </c>
      <c r="B1" s="135"/>
      <c r="C1" s="135"/>
      <c r="D1" s="135"/>
      <c r="E1" s="135"/>
      <c r="F1" s="135"/>
    </row>
    <row r="3" spans="1:6" ht="35" customHeight="1" x14ac:dyDescent="0.35">
      <c r="A3" s="137" t="s">
        <v>145</v>
      </c>
      <c r="B3" s="137"/>
      <c r="C3" s="137"/>
      <c r="D3" s="137"/>
      <c r="E3" s="137"/>
      <c r="F3" s="137"/>
    </row>
    <row r="5" spans="1:6" ht="17.5" x14ac:dyDescent="0.35">
      <c r="A5" s="136" t="s">
        <v>146</v>
      </c>
      <c r="B5" s="136"/>
      <c r="C5" s="136"/>
      <c r="D5" s="136"/>
      <c r="E5" s="136"/>
      <c r="F5" s="136"/>
    </row>
  </sheetData>
  <mergeCells count="3">
    <mergeCell ref="A1:F1"/>
    <mergeCell ref="A3:F3"/>
    <mergeCell ref="A5:F5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DATA ENTRY</vt:lpstr>
      <vt:lpstr>CALCULATIONS</vt:lpstr>
      <vt:lpstr>DASHBOARD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Ramees</dc:creator>
  <cp:lastModifiedBy>Muhammed Ramees</cp:lastModifiedBy>
  <cp:lastPrinted>2026-04-29T00:45:51Z</cp:lastPrinted>
  <dcterms:created xsi:type="dcterms:W3CDTF">2026-04-28T19:43:56Z</dcterms:created>
  <dcterms:modified xsi:type="dcterms:W3CDTF">2026-05-01T19:14:32Z</dcterms:modified>
</cp:coreProperties>
</file>